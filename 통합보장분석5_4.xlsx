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3.xml" ContentType="application/vnd.ms-excel.person+xml"/>
  <Override PartName="/xl/persons/person11.xml" ContentType="application/vnd.ms-excel.person+xml"/>
  <Override PartName="/xl/persons/person6.xml" ContentType="application/vnd.ms-excel.person+xml"/>
  <Override PartName="/xl/persons/person19.xml" ContentType="application/vnd.ms-excel.person+xml"/>
  <Override PartName="/xl/persons/person2.xml" ContentType="application/vnd.ms-excel.person+xml"/>
  <Override PartName="/xl/persons/person10.xml" ContentType="application/vnd.ms-excel.person+xml"/>
  <Override PartName="/xl/persons/person18.xml" ContentType="application/vnd.ms-excel.person+xml"/>
  <Override PartName="/xl/persons/person1.xml" ContentType="application/vnd.ms-excel.person+xml"/>
  <Override PartName="/xl/persons/person5.xml" ContentType="application/vnd.ms-excel.person+xml"/>
  <Override PartName="/xl/persons/person14.xml" ContentType="application/vnd.ms-excel.person+xml"/>
  <Override PartName="/xl/persons/person9.xml" ContentType="application/vnd.ms-excel.person+xml"/>
  <Override PartName="/xl/persons/person17.xml" ContentType="application/vnd.ms-excel.person+xml"/>
  <Override PartName="/xl/persons/person0.xml" ContentType="application/vnd.ms-excel.person+xml"/>
  <Override PartName="/xl/persons/person8.xml" ContentType="application/vnd.ms-excel.person+xml"/>
  <Override PartName="/xl/persons/person13.xml" ContentType="application/vnd.ms-excel.person+xml"/>
  <Override PartName="/xl/persons/person7.xml" ContentType="application/vnd.ms-excel.person+xml"/>
  <Override PartName="/xl/persons/person15.xml" ContentType="application/vnd.ms-excel.person+xml"/>
  <Override PartName="/xl/persons/person.xml" ContentType="application/vnd.ms-excel.person+xml"/>
  <Override PartName="/xl/persons/person20.xml" ContentType="application/vnd.ms-excel.person+xml"/>
  <Override PartName="/xl/persons/person16.xml" ContentType="application/vnd.ms-excel.person+xml"/>
  <Override PartName="/xl/persons/person12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xo\OneDrive\Desktop\"/>
    </mc:Choice>
  </mc:AlternateContent>
  <xr:revisionPtr revIDLastSave="0" documentId="13_ncr:1_{AAACE4B7-5334-4645-8204-2A409693E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통합보장 분석(전)" sheetId="1" r:id="rId1"/>
    <sheet name="통합보장 분석(후)" sheetId="2" r:id="rId2"/>
    <sheet name="보장분석 컨설팅" sheetId="14" r:id="rId3"/>
    <sheet name="태아보험 보험료 비교(100세)" sheetId="16" r:id="rId4"/>
    <sheet name="태아보험 보험료 비교(30세)" sheetId="17" r:id="rId5"/>
    <sheet name="태아보험 보험기간" sheetId="15" r:id="rId6"/>
    <sheet name="1건 보험료비교(100세, 90세, 납기별)" sheetId="4" r:id="rId7"/>
    <sheet name="2건 보험료비교(납기별)" sheetId="7" r:id="rId8"/>
    <sheet name="2건 보험료비교(납기별, 100세, 90세)" sheetId="8" r:id="rId9"/>
  </sheets>
  <definedNames>
    <definedName name="_xlnm.Print_Area" localSheetId="6">'1건 보험료비교(100세, 90세, 납기별)'!$A$1:$I$9</definedName>
    <definedName name="_xlnm.Print_Area" localSheetId="7">'2건 보험료비교(납기별)'!$A$1:$H$9</definedName>
    <definedName name="_xlnm.Print_Area" localSheetId="8">'2건 보험료비교(납기별, 100세, 90세)'!$A$1:$M$9</definedName>
    <definedName name="_xlnm.Print_Area" localSheetId="2">'보장분석 컨설팅'!$A$1:$G$82</definedName>
    <definedName name="_xlnm.Print_Area" localSheetId="5">'태아보험 보험기간'!$A$1:$K$40</definedName>
    <definedName name="_xlnm.Print_Area" localSheetId="3">'태아보험 보험료 비교(100세)'!$A$1:$I$37</definedName>
    <definedName name="_xlnm.Print_Area" localSheetId="4">'태아보험 보험료 비교(30세)'!$A$1:$I$39</definedName>
    <definedName name="_xlnm.Print_Area" localSheetId="0">'통합보장 분석(전)'!$A$1:$L$78</definedName>
    <definedName name="_xlnm.Print_Area" localSheetId="1">'통합보장 분석(후)'!$A$1:$N$77</definedName>
  </definedNames>
  <calcPr calcId="191029"/>
</workbook>
</file>

<file path=xl/calcChain.xml><?xml version="1.0" encoding="utf-8"?>
<calcChain xmlns="http://schemas.openxmlformats.org/spreadsheetml/2006/main">
  <c r="A3" i="2" l="1"/>
  <c r="E39" i="1" l="1"/>
  <c r="E46" i="1"/>
  <c r="E31" i="1"/>
  <c r="E45" i="2"/>
  <c r="G45" i="2" s="1"/>
  <c r="H45" i="2" s="1"/>
  <c r="E38" i="2"/>
  <c r="E40" i="14" s="1"/>
  <c r="E30" i="2"/>
  <c r="G30" i="2" s="1"/>
  <c r="F32" i="14" s="1"/>
  <c r="D29" i="17"/>
  <c r="G29" i="17" s="1"/>
  <c r="D28" i="17"/>
  <c r="G28" i="17" s="1"/>
  <c r="D27" i="17"/>
  <c r="G27" i="17" s="1"/>
  <c r="D26" i="17"/>
  <c r="G28" i="16"/>
  <c r="D28" i="16"/>
  <c r="G27" i="16"/>
  <c r="D27" i="16"/>
  <c r="G26" i="16"/>
  <c r="D26" i="16"/>
  <c r="D25" i="16"/>
  <c r="E11" i="1"/>
  <c r="H30" i="2" l="1"/>
  <c r="E32" i="14"/>
  <c r="G38" i="2"/>
  <c r="H38" i="2" s="1"/>
  <c r="E47" i="14"/>
  <c r="A1" i="2"/>
  <c r="C3" i="2"/>
  <c r="C4" i="1"/>
  <c r="F6" i="1"/>
  <c r="C3" i="1" s="1"/>
  <c r="I4" i="2"/>
  <c r="C2" i="2" s="1"/>
  <c r="E87" i="2" l="1"/>
  <c r="E88" i="2" s="1"/>
  <c r="G88" i="2" s="1"/>
  <c r="E83" i="2"/>
  <c r="E84" i="2" s="1"/>
  <c r="G84" i="2" s="1"/>
  <c r="G87" i="2" l="1"/>
  <c r="H87" i="2" s="1"/>
  <c r="G83" i="2"/>
  <c r="H83" i="2" s="1"/>
  <c r="H88" i="2"/>
  <c r="E85" i="2"/>
  <c r="H84" i="2"/>
  <c r="G85" i="2" l="1"/>
  <c r="H85" i="2" s="1"/>
  <c r="E12" i="1"/>
  <c r="E11" i="2"/>
  <c r="G11" i="2" l="1"/>
  <c r="E17" i="14"/>
  <c r="E70" i="2"/>
  <c r="G70" i="2" s="1"/>
  <c r="E69" i="2"/>
  <c r="G69" i="2" s="1"/>
  <c r="H11" i="2" l="1"/>
  <c r="F17" i="14"/>
  <c r="E21" i="14" s="1"/>
  <c r="E71" i="1"/>
  <c r="E70" i="1"/>
  <c r="E13" i="2" l="1"/>
  <c r="E14" i="2"/>
  <c r="E20" i="14" s="1"/>
  <c r="E12" i="2"/>
  <c r="E15" i="2"/>
  <c r="G15" i="2" s="1"/>
  <c r="H15" i="2" s="1"/>
  <c r="E13" i="1"/>
  <c r="E14" i="1"/>
  <c r="G12" i="2" l="1"/>
  <c r="F18" i="14" s="1"/>
  <c r="E18" i="14"/>
  <c r="G13" i="2"/>
  <c r="F19" i="14" s="1"/>
  <c r="E19" i="14"/>
  <c r="G14" i="2"/>
  <c r="E88" i="1"/>
  <c r="E89" i="1" s="1"/>
  <c r="E84" i="1"/>
  <c r="E85" i="1" s="1"/>
  <c r="E86" i="1" s="1"/>
  <c r="H12" i="2" l="1"/>
  <c r="F20" i="14"/>
  <c r="F88" i="1"/>
  <c r="F84" i="1"/>
  <c r="G49" i="14"/>
  <c r="G61" i="14"/>
  <c r="G69" i="14"/>
  <c r="G73" i="14"/>
  <c r="G78" i="14"/>
  <c r="E10" i="2" l="1"/>
  <c r="E16" i="2"/>
  <c r="E17" i="2"/>
  <c r="G17" i="2" s="1"/>
  <c r="E18" i="2"/>
  <c r="G18" i="2" s="1"/>
  <c r="G16" i="2" l="1"/>
  <c r="E22" i="14"/>
  <c r="G10" i="2"/>
  <c r="E16" i="14"/>
  <c r="E79" i="2"/>
  <c r="E80" i="2"/>
  <c r="E81" i="2"/>
  <c r="E68" i="2"/>
  <c r="E74" i="2"/>
  <c r="E75" i="2"/>
  <c r="E76" i="2"/>
  <c r="E77" i="2"/>
  <c r="E60" i="2"/>
  <c r="E61" i="2"/>
  <c r="E62" i="2"/>
  <c r="E63" i="2"/>
  <c r="E64" i="2"/>
  <c r="E65" i="2"/>
  <c r="E66" i="2"/>
  <c r="E48" i="2"/>
  <c r="E49" i="2"/>
  <c r="E50" i="2"/>
  <c r="E51" i="2"/>
  <c r="E52" i="2"/>
  <c r="E53" i="2"/>
  <c r="E54" i="2"/>
  <c r="E55" i="2"/>
  <c r="E56" i="2"/>
  <c r="E57" i="2"/>
  <c r="E58" i="2"/>
  <c r="E24" i="2"/>
  <c r="E25" i="2"/>
  <c r="E26" i="2"/>
  <c r="E27" i="2"/>
  <c r="E28" i="2"/>
  <c r="E29" i="2"/>
  <c r="E46" i="2"/>
  <c r="E44" i="2"/>
  <c r="E40" i="2"/>
  <c r="E39" i="2"/>
  <c r="E37" i="2"/>
  <c r="E34" i="2"/>
  <c r="E33" i="2"/>
  <c r="E32" i="2"/>
  <c r="E34" i="14" s="1"/>
  <c r="E31" i="2"/>
  <c r="E23" i="2"/>
  <c r="G31" i="2" l="1"/>
  <c r="E33" i="14"/>
  <c r="F16" i="14"/>
  <c r="G16" i="14" s="1"/>
  <c r="H10" i="2"/>
  <c r="G29" i="2"/>
  <c r="E31" i="14"/>
  <c r="G51" i="2"/>
  <c r="F53" i="14" s="1"/>
  <c r="E53" i="14"/>
  <c r="G76" i="2"/>
  <c r="F76" i="14" s="1"/>
  <c r="E76" i="14"/>
  <c r="G27" i="2"/>
  <c r="E29" i="14"/>
  <c r="G74" i="2"/>
  <c r="F74" i="14" s="1"/>
  <c r="E74" i="14"/>
  <c r="G23" i="2"/>
  <c r="E25" i="14"/>
  <c r="E72" i="2"/>
  <c r="E70" i="14"/>
  <c r="G81" i="2"/>
  <c r="F81" i="14" s="1"/>
  <c r="E81" i="14"/>
  <c r="G48" i="2"/>
  <c r="F50" i="14" s="1"/>
  <c r="E50" i="14"/>
  <c r="E35" i="2"/>
  <c r="E36" i="14"/>
  <c r="G58" i="2"/>
  <c r="F60" i="14" s="1"/>
  <c r="E60" i="14"/>
  <c r="G65" i="2"/>
  <c r="F67" i="14" s="1"/>
  <c r="E67" i="14"/>
  <c r="G80" i="2"/>
  <c r="F80" i="14" s="1"/>
  <c r="E80" i="14"/>
  <c r="G28" i="2"/>
  <c r="E30" i="14"/>
  <c r="G49" i="2"/>
  <c r="F51" i="14" s="1"/>
  <c r="E51" i="14"/>
  <c r="G66" i="2"/>
  <c r="F68" i="14" s="1"/>
  <c r="E68" i="14"/>
  <c r="G57" i="2"/>
  <c r="F59" i="14" s="1"/>
  <c r="E59" i="14"/>
  <c r="G64" i="2"/>
  <c r="F66" i="14" s="1"/>
  <c r="E66" i="14"/>
  <c r="G79" i="2"/>
  <c r="F79" i="14" s="1"/>
  <c r="E79" i="14"/>
  <c r="G77" i="2"/>
  <c r="F77" i="14" s="1"/>
  <c r="E77" i="14"/>
  <c r="G26" i="2"/>
  <c r="E28" i="14"/>
  <c r="G24" i="2"/>
  <c r="E26" i="14"/>
  <c r="G37" i="2"/>
  <c r="E39" i="14"/>
  <c r="G39" i="2"/>
  <c r="E41" i="14"/>
  <c r="G56" i="2"/>
  <c r="F58" i="14" s="1"/>
  <c r="E58" i="14"/>
  <c r="G63" i="2"/>
  <c r="F65" i="14" s="1"/>
  <c r="E65" i="14"/>
  <c r="G50" i="2"/>
  <c r="F52" i="14" s="1"/>
  <c r="E52" i="14"/>
  <c r="G25" i="2"/>
  <c r="E27" i="14"/>
  <c r="G55" i="2"/>
  <c r="F57" i="14" s="1"/>
  <c r="E57" i="14"/>
  <c r="G62" i="2"/>
  <c r="F64" i="14" s="1"/>
  <c r="E64" i="14"/>
  <c r="G75" i="2"/>
  <c r="F75" i="14" s="1"/>
  <c r="E75" i="14"/>
  <c r="G32" i="2"/>
  <c r="E41" i="2"/>
  <c r="G41" i="2" s="1"/>
  <c r="E42" i="14"/>
  <c r="G44" i="2"/>
  <c r="E46" i="14"/>
  <c r="G54" i="2"/>
  <c r="F56" i="14" s="1"/>
  <c r="E56" i="14"/>
  <c r="G61" i="2"/>
  <c r="F63" i="14" s="1"/>
  <c r="E63" i="14"/>
  <c r="G52" i="2"/>
  <c r="F54" i="14" s="1"/>
  <c r="E54" i="14"/>
  <c r="G33" i="2"/>
  <c r="E35" i="14"/>
  <c r="G46" i="2"/>
  <c r="E48" i="14"/>
  <c r="G53" i="2"/>
  <c r="F55" i="14" s="1"/>
  <c r="E55" i="14"/>
  <c r="G60" i="2"/>
  <c r="F62" i="14" s="1"/>
  <c r="E62" i="14"/>
  <c r="G40" i="2"/>
  <c r="G68" i="2"/>
  <c r="F70" i="14" s="1"/>
  <c r="E71" i="2"/>
  <c r="G34" i="2"/>
  <c r="E15" i="1"/>
  <c r="F35" i="14" l="1"/>
  <c r="H33" i="2"/>
  <c r="F25" i="14"/>
  <c r="H23" i="2"/>
  <c r="F48" i="14"/>
  <c r="G48" i="14" s="1"/>
  <c r="H46" i="2"/>
  <c r="F34" i="14"/>
  <c r="G34" i="14" s="1"/>
  <c r="H32" i="2"/>
  <c r="F42" i="14"/>
  <c r="G42" i="14" s="1"/>
  <c r="H40" i="2"/>
  <c r="F31" i="14"/>
  <c r="G31" i="14" s="1"/>
  <c r="H29" i="2"/>
  <c r="F41" i="14"/>
  <c r="G41" i="14" s="1"/>
  <c r="H39" i="2"/>
  <c r="F36" i="14"/>
  <c r="G36" i="14" s="1"/>
  <c r="H34" i="2"/>
  <c r="F43" i="14"/>
  <c r="H41" i="2"/>
  <c r="F30" i="14"/>
  <c r="G30" i="14" s="1"/>
  <c r="H28" i="2"/>
  <c r="F46" i="14"/>
  <c r="H44" i="2"/>
  <c r="F39" i="14"/>
  <c r="H37" i="2"/>
  <c r="F33" i="14"/>
  <c r="H31" i="2"/>
  <c r="F27" i="14"/>
  <c r="G27" i="14" s="1"/>
  <c r="H25" i="2"/>
  <c r="F29" i="14"/>
  <c r="G29" i="14" s="1"/>
  <c r="H27" i="2"/>
  <c r="F26" i="14"/>
  <c r="G26" i="14" s="1"/>
  <c r="H24" i="2"/>
  <c r="F28" i="14"/>
  <c r="G28" i="14" s="1"/>
  <c r="H26" i="2"/>
  <c r="E36" i="2"/>
  <c r="G36" i="2" s="1"/>
  <c r="H36" i="2" s="1"/>
  <c r="G70" i="14"/>
  <c r="G75" i="14"/>
  <c r="G58" i="14"/>
  <c r="G54" i="14"/>
  <c r="G62" i="14"/>
  <c r="G32" i="14"/>
  <c r="G63" i="14"/>
  <c r="G35" i="14"/>
  <c r="G65" i="14"/>
  <c r="G51" i="14"/>
  <c r="G52" i="14"/>
  <c r="G50" i="14"/>
  <c r="G76" i="14"/>
  <c r="G66" i="14"/>
  <c r="G67" i="14"/>
  <c r="G25" i="14"/>
  <c r="G64" i="14"/>
  <c r="G55" i="14"/>
  <c r="G56" i="14"/>
  <c r="G57" i="14"/>
  <c r="G39" i="14"/>
  <c r="G59" i="14"/>
  <c r="G60" i="14"/>
  <c r="G74" i="14"/>
  <c r="G68" i="14"/>
  <c r="G46" i="14"/>
  <c r="G77" i="14"/>
  <c r="G81" i="14"/>
  <c r="G53" i="14"/>
  <c r="G79" i="14"/>
  <c r="G80" i="14"/>
  <c r="G35" i="2"/>
  <c r="E37" i="14"/>
  <c r="E42" i="2"/>
  <c r="E43" i="14"/>
  <c r="G71" i="2"/>
  <c r="F71" i="14" s="1"/>
  <c r="E71" i="14"/>
  <c r="G72" i="2"/>
  <c r="F72" i="14" s="1"/>
  <c r="E72" i="14"/>
  <c r="H49" i="2"/>
  <c r="E54" i="1"/>
  <c r="E50" i="1"/>
  <c r="E55" i="1"/>
  <c r="E51" i="1"/>
  <c r="H50" i="2"/>
  <c r="E56" i="1"/>
  <c r="E57" i="1"/>
  <c r="H81" i="2"/>
  <c r="H80" i="2"/>
  <c r="H79" i="2"/>
  <c r="E82" i="1"/>
  <c r="E81" i="1"/>
  <c r="E80" i="1"/>
  <c r="F80" i="1" s="1"/>
  <c r="E27" i="1"/>
  <c r="M6" i="8"/>
  <c r="L6" i="8"/>
  <c r="J6" i="8"/>
  <c r="H6" i="8"/>
  <c r="E6" i="8"/>
  <c r="C6" i="8"/>
  <c r="M5" i="8"/>
  <c r="L5" i="8"/>
  <c r="J5" i="8"/>
  <c r="H5" i="8"/>
  <c r="E5" i="8"/>
  <c r="C5" i="8"/>
  <c r="M4" i="8"/>
  <c r="L4" i="8"/>
  <c r="J4" i="8"/>
  <c r="H4" i="8"/>
  <c r="E4" i="8"/>
  <c r="C4" i="8"/>
  <c r="H6" i="7"/>
  <c r="F6" i="7"/>
  <c r="C6" i="7"/>
  <c r="H5" i="7"/>
  <c r="F5" i="7"/>
  <c r="C5" i="7"/>
  <c r="H4" i="7"/>
  <c r="F4" i="7"/>
  <c r="C4" i="7"/>
  <c r="E25" i="1"/>
  <c r="E26" i="1"/>
  <c r="E28" i="1"/>
  <c r="E24" i="1"/>
  <c r="E78" i="1"/>
  <c r="H77" i="2"/>
  <c r="C4" i="4"/>
  <c r="E4" i="4"/>
  <c r="G4" i="4"/>
  <c r="I4" i="4"/>
  <c r="C5" i="4"/>
  <c r="E5" i="4"/>
  <c r="G5" i="4"/>
  <c r="I5" i="4"/>
  <c r="C6" i="4"/>
  <c r="E6" i="4"/>
  <c r="G6" i="4"/>
  <c r="I6" i="4"/>
  <c r="H7" i="2"/>
  <c r="H8" i="2"/>
  <c r="H9" i="2"/>
  <c r="H6" i="2"/>
  <c r="G43" i="14" l="1"/>
  <c r="F37" i="14"/>
  <c r="G37" i="14" s="1"/>
  <c r="H35" i="2"/>
  <c r="E43" i="2"/>
  <c r="G43" i="2" s="1"/>
  <c r="H43" i="2" s="1"/>
  <c r="G72" i="14"/>
  <c r="G71" i="14"/>
  <c r="G42" i="2"/>
  <c r="E44" i="14"/>
  <c r="H53" i="2"/>
  <c r="E23" i="1"/>
  <c r="H54" i="2"/>
  <c r="E53" i="1"/>
  <c r="E30" i="1"/>
  <c r="E38" i="1"/>
  <c r="E45" i="1"/>
  <c r="E47" i="1"/>
  <c r="E76" i="1"/>
  <c r="E77" i="1"/>
  <c r="E75" i="1"/>
  <c r="F75" i="1" s="1"/>
  <c r="E69" i="1"/>
  <c r="E72" i="1" s="1"/>
  <c r="E62" i="1"/>
  <c r="E63" i="1"/>
  <c r="E64" i="1"/>
  <c r="E65" i="1"/>
  <c r="E66" i="1"/>
  <c r="E67" i="1"/>
  <c r="E61" i="1"/>
  <c r="E52" i="1"/>
  <c r="E58" i="1"/>
  <c r="E59" i="1"/>
  <c r="E49" i="1"/>
  <c r="E40" i="1"/>
  <c r="E41" i="1"/>
  <c r="E42" i="1" s="1"/>
  <c r="E43" i="1" s="1"/>
  <c r="E34" i="1"/>
  <c r="E35" i="1"/>
  <c r="E36" i="1" s="1"/>
  <c r="E37" i="1" s="1"/>
  <c r="E32" i="1"/>
  <c r="E33" i="1"/>
  <c r="E29" i="1"/>
  <c r="E17" i="1"/>
  <c r="E18" i="1"/>
  <c r="E19" i="1"/>
  <c r="E16" i="1"/>
  <c r="F44" i="14" l="1"/>
  <c r="G44" i="14" s="1"/>
  <c r="H42" i="2"/>
  <c r="F38" i="14"/>
  <c r="E38" i="14"/>
  <c r="E22" i="2"/>
  <c r="E24" i="14" s="1"/>
  <c r="H55" i="2"/>
  <c r="E44" i="1"/>
  <c r="H60" i="2"/>
  <c r="H18" i="2"/>
  <c r="H65" i="2"/>
  <c r="H17" i="2"/>
  <c r="H64" i="2"/>
  <c r="H16" i="2"/>
  <c r="H63" i="2"/>
  <c r="H48" i="2"/>
  <c r="H62" i="2"/>
  <c r="H66" i="2"/>
  <c r="H58" i="2"/>
  <c r="H61" i="2"/>
  <c r="H57" i="2"/>
  <c r="H74" i="2"/>
  <c r="H75" i="2"/>
  <c r="H52" i="2"/>
  <c r="H76" i="2"/>
  <c r="H51" i="2"/>
  <c r="H68" i="2"/>
  <c r="E73" i="1"/>
  <c r="G38" i="14" l="1"/>
  <c r="F45" i="14"/>
  <c r="E45" i="14"/>
  <c r="G22" i="2"/>
  <c r="F24" i="14" s="1"/>
  <c r="G24" i="14" s="1"/>
  <c r="H56" i="2"/>
  <c r="H72" i="2"/>
  <c r="H71" i="2"/>
  <c r="G45" i="14" l="1"/>
  <c r="H22" i="2"/>
</calcChain>
</file>

<file path=xl/sharedStrings.xml><?xml version="1.0" encoding="utf-8"?>
<sst xmlns="http://schemas.openxmlformats.org/spreadsheetml/2006/main" count="456" uniqueCount="194">
  <si>
    <t>구   분</t>
    <phoneticPr fontId="4" type="noConversion"/>
  </si>
  <si>
    <t>회 사 명</t>
    <phoneticPr fontId="4" type="noConversion"/>
  </si>
  <si>
    <t>보 험 종 류</t>
    <phoneticPr fontId="4" type="noConversion"/>
  </si>
  <si>
    <t>Total</t>
    <phoneticPr fontId="4" type="noConversion"/>
  </si>
  <si>
    <t>계 약 일</t>
    <phoneticPr fontId="4" type="noConversion"/>
  </si>
  <si>
    <t>납 입 기 간</t>
    <phoneticPr fontId="4" type="noConversion"/>
  </si>
  <si>
    <t>보 험 기 간</t>
    <phoneticPr fontId="4" type="noConversion"/>
  </si>
  <si>
    <t>월보험료(원)</t>
    <phoneticPr fontId="4" type="noConversion"/>
  </si>
  <si>
    <t>일 반 사 망</t>
    <phoneticPr fontId="4" type="noConversion"/>
  </si>
  <si>
    <t>질 병 사 망</t>
    <phoneticPr fontId="4" type="noConversion"/>
  </si>
  <si>
    <t>상 해 사 망</t>
    <phoneticPr fontId="4" type="noConversion"/>
  </si>
  <si>
    <t>질병후유장해</t>
    <phoneticPr fontId="4" type="noConversion"/>
  </si>
  <si>
    <t>상해후유장해</t>
    <phoneticPr fontId="4" type="noConversion"/>
  </si>
  <si>
    <t>수술비</t>
    <phoneticPr fontId="4" type="noConversion"/>
  </si>
  <si>
    <t>입원비</t>
    <phoneticPr fontId="4" type="noConversion"/>
  </si>
  <si>
    <t>질 병 입 원</t>
    <phoneticPr fontId="4" type="noConversion"/>
  </si>
  <si>
    <t>일상생활중배상책임</t>
    <phoneticPr fontId="4" type="noConversion"/>
  </si>
  <si>
    <t>실손의료비</t>
    <phoneticPr fontId="4" type="noConversion"/>
  </si>
  <si>
    <t>질병 입원의료비</t>
    <phoneticPr fontId="4" type="noConversion"/>
  </si>
  <si>
    <t>질병 통원의료비</t>
    <phoneticPr fontId="4" type="noConversion"/>
  </si>
  <si>
    <t>상해 입원의료비</t>
    <phoneticPr fontId="4" type="noConversion"/>
  </si>
  <si>
    <t>상해 통원의료비</t>
    <phoneticPr fontId="4" type="noConversion"/>
  </si>
  <si>
    <t>암</t>
    <phoneticPr fontId="4" type="noConversion"/>
  </si>
  <si>
    <t>심장</t>
    <phoneticPr fontId="4" type="noConversion"/>
  </si>
  <si>
    <t>심혈관</t>
    <phoneticPr fontId="4" type="noConversion"/>
  </si>
  <si>
    <t>허혈성심장질환</t>
    <phoneticPr fontId="4" type="noConversion"/>
  </si>
  <si>
    <t>급성심근경색</t>
    <phoneticPr fontId="4" type="noConversion"/>
  </si>
  <si>
    <t>고액암</t>
    <phoneticPr fontId="4" type="noConversion"/>
  </si>
  <si>
    <t>일반암</t>
    <phoneticPr fontId="4" type="noConversion"/>
  </si>
  <si>
    <t>소액암</t>
    <phoneticPr fontId="4" type="noConversion"/>
  </si>
  <si>
    <t>입원일당</t>
    <phoneticPr fontId="4" type="noConversion"/>
  </si>
  <si>
    <t>뇌</t>
    <phoneticPr fontId="4" type="noConversion"/>
  </si>
  <si>
    <t>뇌혈관</t>
    <phoneticPr fontId="4" type="noConversion"/>
  </si>
  <si>
    <t>뇌졸중</t>
    <phoneticPr fontId="4" type="noConversion"/>
  </si>
  <si>
    <t>뇌출혈</t>
    <phoneticPr fontId="4" type="noConversion"/>
  </si>
  <si>
    <t>3대 질병</t>
    <phoneticPr fontId="4" type="noConversion"/>
  </si>
  <si>
    <t>수술비</t>
    <phoneticPr fontId="4" type="noConversion"/>
  </si>
  <si>
    <t>상해</t>
    <phoneticPr fontId="4" type="noConversion"/>
  </si>
  <si>
    <t>질병</t>
    <phoneticPr fontId="4" type="noConversion"/>
  </si>
  <si>
    <t>대수술비</t>
    <phoneticPr fontId="4" type="noConversion"/>
  </si>
  <si>
    <t>상 해 입 원</t>
    <phoneticPr fontId="4" type="noConversion"/>
  </si>
  <si>
    <t>상해</t>
    <phoneticPr fontId="4" type="noConversion"/>
  </si>
  <si>
    <t>골절진단비</t>
    <phoneticPr fontId="4" type="noConversion"/>
  </si>
  <si>
    <t>5대 골절진단비</t>
    <phoneticPr fontId="4" type="noConversion"/>
  </si>
  <si>
    <t>화상치료비</t>
    <phoneticPr fontId="4" type="noConversion"/>
  </si>
  <si>
    <t>깁스치료비</t>
    <phoneticPr fontId="4" type="noConversion"/>
  </si>
  <si>
    <t>후유
장해</t>
    <phoneticPr fontId="4" type="noConversion"/>
  </si>
  <si>
    <t>사망</t>
    <phoneticPr fontId="4" type="noConversion"/>
  </si>
  <si>
    <t>후</t>
    <phoneticPr fontId="7" type="noConversion"/>
  </si>
  <si>
    <t>전</t>
    <phoneticPr fontId="7" type="noConversion"/>
  </si>
  <si>
    <t>Total(전)</t>
    <phoneticPr fontId="4" type="noConversion"/>
  </si>
  <si>
    <t>Total(후)</t>
    <phoneticPr fontId="4" type="noConversion"/>
  </si>
  <si>
    <t>운전자</t>
    <phoneticPr fontId="4" type="noConversion"/>
  </si>
  <si>
    <t>벌금</t>
    <phoneticPr fontId="4" type="noConversion"/>
  </si>
  <si>
    <t>변호사선임비용</t>
    <phoneticPr fontId="4" type="noConversion"/>
  </si>
  <si>
    <t>교통사고처리지원금</t>
    <phoneticPr fontId="4" type="noConversion"/>
  </si>
  <si>
    <t>해지</t>
    <phoneticPr fontId="7" type="noConversion"/>
  </si>
  <si>
    <t>증감</t>
    <phoneticPr fontId="4" type="noConversion"/>
  </si>
  <si>
    <t>항암치료/표적항암</t>
    <phoneticPr fontId="4" type="noConversion"/>
  </si>
  <si>
    <t>한화 실손</t>
    <phoneticPr fontId="18" type="noConversion"/>
  </si>
  <si>
    <t>기존 계약사항</t>
    <phoneticPr fontId="18" type="noConversion"/>
  </si>
  <si>
    <t>유사암 600만원</t>
    <phoneticPr fontId="18" type="noConversion"/>
  </si>
  <si>
    <t>30년납</t>
  </si>
  <si>
    <t>유사암 700만원</t>
    <phoneticPr fontId="18" type="noConversion"/>
  </si>
  <si>
    <t>25년납</t>
  </si>
  <si>
    <t>20년납</t>
  </si>
  <si>
    <t>합계보험료</t>
    <phoneticPr fontId="18" type="noConversion"/>
  </si>
  <si>
    <t>비고</t>
    <phoneticPr fontId="18" type="noConversion"/>
  </si>
  <si>
    <t>총납입보험료</t>
  </si>
  <si>
    <t>90세 만기</t>
    <phoneticPr fontId="18" type="noConversion"/>
  </si>
  <si>
    <t>100세 만기</t>
    <phoneticPr fontId="18" type="noConversion"/>
  </si>
  <si>
    <t>DB손해 어린이</t>
    <phoneticPr fontId="18" type="noConversion"/>
  </si>
  <si>
    <t>VIP고객님 컨설팅</t>
    <phoneticPr fontId="18" type="noConversion"/>
  </si>
  <si>
    <t>계   약</t>
    <phoneticPr fontId="4" type="noConversion"/>
  </si>
  <si>
    <t>변경</t>
    <phoneticPr fontId="7" type="noConversion"/>
  </si>
  <si>
    <t>자동차부상치료비</t>
    <phoneticPr fontId="4" type="noConversion"/>
  </si>
  <si>
    <t>일반암(소액암제외)</t>
    <phoneticPr fontId="4" type="noConversion"/>
  </si>
  <si>
    <t>소액암(생식기암)</t>
    <phoneticPr fontId="4" type="noConversion"/>
  </si>
  <si>
    <t>일반암(소액·대장점막제외)</t>
    <phoneticPr fontId="4" type="noConversion"/>
  </si>
  <si>
    <t>-</t>
    <phoneticPr fontId="22" type="noConversion"/>
  </si>
  <si>
    <t>출생 전 :</t>
    <phoneticPr fontId="22" type="noConversion"/>
  </si>
  <si>
    <t>출생 후 :</t>
    <phoneticPr fontId="22" type="noConversion"/>
  </si>
  <si>
    <t xml:space="preserve"> ▷태아실손은 출생시점이 제일 비싸고 이후 갱신시 계속 저렴해집니다.</t>
    <phoneticPr fontId="22" type="noConversion"/>
  </si>
  <si>
    <t>100세만기</t>
    <phoneticPr fontId="22" type="noConversion"/>
  </si>
  <si>
    <t>20년만기</t>
    <phoneticPr fontId="22" type="noConversion"/>
  </si>
  <si>
    <t>해지 예정</t>
    <phoneticPr fontId="22" type="noConversion"/>
  </si>
  <si>
    <t>(1년이내)</t>
    <phoneticPr fontId="22" type="noConversion"/>
  </si>
  <si>
    <t>(1년이후)</t>
    <phoneticPr fontId="22" type="noConversion"/>
  </si>
  <si>
    <t xml:space="preserve"> ▷모든 설계 내용은 남아 기준으로 설계되있어 여아인 경우 보험료가 인하됩니다.</t>
    <phoneticPr fontId="22" type="noConversion"/>
  </si>
  <si>
    <t>▣ 출생 전 합계 :</t>
    <phoneticPr fontId="22" type="noConversion"/>
  </si>
  <si>
    <t>▣ 출생 후 합계 :</t>
    <phoneticPr fontId="22" type="noConversion"/>
  </si>
  <si>
    <t>(3살이후)</t>
    <phoneticPr fontId="22" type="noConversion"/>
  </si>
  <si>
    <t>＊위 보험료는 실손 인하를 고려하지 않은 보험료로 실제 보험료는 더 저렴합니다.</t>
    <phoneticPr fontId="22" type="noConversion"/>
  </si>
  <si>
    <t xml:space="preserve"> ▷실손보험료 점점 줄어듦</t>
    <phoneticPr fontId="22" type="noConversion"/>
  </si>
  <si>
    <t xml:space="preserve"> ▷여아인 경우 보험료 줄어듦</t>
    <phoneticPr fontId="22" type="noConversion"/>
  </si>
  <si>
    <t xml:space="preserve"> ▷태아특약 1년 만기 후 보험료 줄어듦</t>
    <phoneticPr fontId="22" type="noConversion"/>
  </si>
  <si>
    <t xml:space="preserve"> ▷3살 이후 입원일당 삭제시 보험료 줄어듦</t>
    <phoneticPr fontId="22" type="noConversion"/>
  </si>
  <si>
    <t xml:space="preserve"> ▶출생시점이 제일 비싸고 이후 계속 보험료가 저렴해집니다^^</t>
    <phoneticPr fontId="22" type="noConversion"/>
  </si>
  <si>
    <t>흥국 어린이</t>
    <phoneticPr fontId="18" type="noConversion"/>
  </si>
  <si>
    <t>농협 어린이</t>
    <phoneticPr fontId="18" type="noConversion"/>
  </si>
  <si>
    <t>보험료</t>
  </si>
  <si>
    <t>E3, G3 '비고' 숨기기 있음</t>
    <phoneticPr fontId="18" type="noConversion"/>
  </si>
  <si>
    <t>A보험</t>
    <phoneticPr fontId="18" type="noConversion"/>
  </si>
  <si>
    <t>B보험</t>
    <phoneticPr fontId="18" type="noConversion"/>
  </si>
  <si>
    <t>C보험</t>
    <phoneticPr fontId="18" type="noConversion"/>
  </si>
  <si>
    <t>D보험</t>
    <phoneticPr fontId="18" type="noConversion"/>
  </si>
  <si>
    <r>
      <t xml:space="preserve">합계보험료
</t>
    </r>
    <r>
      <rPr>
        <sz val="10"/>
        <color theme="1"/>
        <rFont val="맑은 고딕"/>
        <family val="3"/>
        <charset val="129"/>
        <scheme val="minor"/>
      </rPr>
      <t>100세 만기</t>
    </r>
    <phoneticPr fontId="18" type="noConversion"/>
  </si>
  <si>
    <r>
      <t xml:space="preserve">합계보험료
</t>
    </r>
    <r>
      <rPr>
        <sz val="10"/>
        <color theme="1"/>
        <rFont val="맑은 고딕"/>
        <family val="3"/>
        <charset val="129"/>
        <scheme val="minor"/>
      </rPr>
      <t>90세 만기</t>
    </r>
    <phoneticPr fontId="18" type="noConversion"/>
  </si>
  <si>
    <t>100세 만기</t>
    <phoneticPr fontId="14" type="noConversion"/>
  </si>
  <si>
    <t>90세 만기</t>
    <phoneticPr fontId="14" type="noConversion"/>
  </si>
  <si>
    <t>F4, K4 '비고' 숨기기 있음</t>
    <phoneticPr fontId="18" type="noConversion"/>
  </si>
  <si>
    <t>E보험</t>
    <phoneticPr fontId="18" type="noConversion"/>
  </si>
  <si>
    <t>90세만기</t>
    <phoneticPr fontId="14" type="noConversion"/>
  </si>
  <si>
    <t>D3, H3 '비고' 숨기기 있음</t>
    <phoneticPr fontId="18" type="noConversion"/>
  </si>
  <si>
    <t>중대한암</t>
    <phoneticPr fontId="4" type="noConversion"/>
  </si>
  <si>
    <t>중대한급성심근경색</t>
    <phoneticPr fontId="4" type="noConversion"/>
  </si>
  <si>
    <t>중대한뇌졸중</t>
    <phoneticPr fontId="4" type="noConversion"/>
  </si>
  <si>
    <t>화재</t>
    <phoneticPr fontId="4" type="noConversion"/>
  </si>
  <si>
    <t>화재벌금</t>
    <phoneticPr fontId="4" type="noConversion"/>
  </si>
  <si>
    <t>화재손해</t>
    <phoneticPr fontId="4" type="noConversion"/>
  </si>
  <si>
    <t>화재배상책임</t>
    <phoneticPr fontId="4" type="noConversion"/>
  </si>
  <si>
    <t>1~3종수술비</t>
    <phoneticPr fontId="4" type="noConversion"/>
  </si>
  <si>
    <t>1~7종수술비</t>
    <phoneticPr fontId="4" type="noConversion"/>
  </si>
  <si>
    <t>총납입보험료</t>
    <phoneticPr fontId="4" type="noConversion"/>
  </si>
  <si>
    <t>→</t>
    <phoneticPr fontId="4" type="noConversion"/>
  </si>
  <si>
    <t>변경/해지</t>
    <phoneticPr fontId="7" type="noConversion"/>
  </si>
  <si>
    <t>※ point</t>
  </si>
  <si>
    <t>1. 월/전체 보험료 절감</t>
    <phoneticPr fontId="38" type="noConversion"/>
  </si>
  <si>
    <t>2. 3대진단비/수술비 보장확대</t>
    <phoneticPr fontId="38" type="noConversion"/>
  </si>
  <si>
    <t xml:space="preserve"> 1) 기존: 암진단비 1.6억(갱신포함 )/ 뇌혈관 1천(갱신) / 허혈성 1천(갱신) / 2대수술비 1천(갱신)</t>
    <phoneticPr fontId="38" type="noConversion"/>
  </si>
  <si>
    <t xml:space="preserve"> 2) 변경: 암진단비 1.5억(비갱신) / 뇌혈관 2천 / 허혈성 2천 / 2대수술비 각 2천</t>
    <phoneticPr fontId="38" type="noConversion"/>
  </si>
  <si>
    <t>3. 수술비 보장 확대</t>
    <phoneticPr fontId="38" type="noConversion"/>
  </si>
  <si>
    <t xml:space="preserve"> 1) 기존: 질병수술비 2십 / 질병종수술비 6백 / 상해종수술비 16백</t>
    <phoneticPr fontId="38" type="noConversion"/>
  </si>
  <si>
    <t xml:space="preserve"> 2) 변경: 질병수술비 3십 / 질병종수술비 11백 / 상해종수술비 21백</t>
    <phoneticPr fontId="38" type="noConversion"/>
  </si>
  <si>
    <t>4. 치매보험의 패러다임 변경 및 사망시 보험금 지급 상품으로 변경</t>
    <phoneticPr fontId="38" type="noConversion"/>
  </si>
  <si>
    <t>5. 표적항암 1천 + 항암방사선 3백 + 항암약물 3백 추가</t>
    <phoneticPr fontId="38" type="noConversion"/>
  </si>
  <si>
    <t xml:space="preserve"> </t>
    <phoneticPr fontId="22" type="noConversion"/>
  </si>
  <si>
    <t>월 보험료</t>
    <phoneticPr fontId="22" type="noConversion"/>
  </si>
  <si>
    <t>전체 보험료</t>
    <phoneticPr fontId="22" type="noConversion"/>
  </si>
  <si>
    <t>절감 금액</t>
    <phoneticPr fontId="22" type="noConversion"/>
  </si>
  <si>
    <t>VIP고객님의 보장분석 컨설팅</t>
    <phoneticPr fontId="35" type="noConversion"/>
  </si>
  <si>
    <t>컨설팅전</t>
    <phoneticPr fontId="22" type="noConversion"/>
  </si>
  <si>
    <t>컨설팅후</t>
    <phoneticPr fontId="22" type="noConversion"/>
  </si>
  <si>
    <t>치매</t>
    <phoneticPr fontId="4" type="noConversion"/>
  </si>
  <si>
    <t>경증치매</t>
    <phoneticPr fontId="4" type="noConversion"/>
  </si>
  <si>
    <t>중등도치매</t>
    <phoneticPr fontId="4" type="noConversion"/>
  </si>
  <si>
    <t>중증치매</t>
    <phoneticPr fontId="4" type="noConversion"/>
  </si>
  <si>
    <t>장기요양</t>
    <phoneticPr fontId="4" type="noConversion"/>
  </si>
  <si>
    <t>경증등급(1~5급)</t>
    <phoneticPr fontId="4" type="noConversion"/>
  </si>
  <si>
    <t>중증등급(1~2급)</t>
    <phoneticPr fontId="4" type="noConversion"/>
  </si>
  <si>
    <t>납입완료</t>
    <phoneticPr fontId="4" type="noConversion"/>
  </si>
  <si>
    <t>납입예정</t>
    <phoneticPr fontId="4" type="noConversion"/>
  </si>
  <si>
    <t>납입완료</t>
    <phoneticPr fontId="22" type="noConversion"/>
  </si>
  <si>
    <t>└ 종 신 사 망</t>
    <phoneticPr fontId="4" type="noConversion"/>
  </si>
  <si>
    <t>└ 정 기 사 망</t>
    <phoneticPr fontId="4" type="noConversion"/>
  </si>
  <si>
    <t>갱신 예상보험료</t>
    <phoneticPr fontId="4" type="noConversion"/>
  </si>
  <si>
    <t>태아보험의 보험기간</t>
    <phoneticPr fontId="22" type="noConversion"/>
  </si>
  <si>
    <t>장점</t>
    <phoneticPr fontId="22" type="noConversion"/>
  </si>
  <si>
    <t xml:space="preserve">보험료 저렴 </t>
    <phoneticPr fontId="22" type="noConversion"/>
  </si>
  <si>
    <t>한번 가입으로 100세까지 보장</t>
    <phoneticPr fontId="22" type="noConversion"/>
  </si>
  <si>
    <t xml:space="preserve"> - 좋은 보장들을 끝까지 유지</t>
    <phoneticPr fontId="22" type="noConversion"/>
  </si>
  <si>
    <t>단점</t>
    <phoneticPr fontId="22" type="noConversion"/>
  </si>
  <si>
    <t>30세 시점에 보험 재가입</t>
    <phoneticPr fontId="22" type="noConversion"/>
  </si>
  <si>
    <t>보험료 비쌈</t>
    <phoneticPr fontId="22" type="noConversion"/>
  </si>
  <si>
    <t xml:space="preserve"> - 30세부터 다시 20년 납입(총 40년납)</t>
    <phoneticPr fontId="22" type="noConversion"/>
  </si>
  <si>
    <t xml:space="preserve"> - 30세 나이로 20년(태아 대비 보험료 2배 이상↑)</t>
    <phoneticPr fontId="22" type="noConversion"/>
  </si>
  <si>
    <t>과거 병력에 따라 재가입 불가</t>
    <phoneticPr fontId="22" type="noConversion"/>
  </si>
  <si>
    <t xml:space="preserve"> - 계약전환제도 기능(30세 시점 100세 만기로 변경)</t>
    <phoneticPr fontId="22" type="noConversion"/>
  </si>
  <si>
    <t xml:space="preserve">  - 30세부터 다시 20년 납입(총 40년납)</t>
    <phoneticPr fontId="22" type="noConversion"/>
  </si>
  <si>
    <t xml:space="preserve">  - 무해지 (30%할인) 불가능</t>
    <phoneticPr fontId="22" type="noConversion"/>
  </si>
  <si>
    <t>각 가정의 경제상황, 여력에 따라 30세 또는 100세 만기 결정</t>
    <phoneticPr fontId="22" type="noConversion"/>
  </si>
  <si>
    <t>실손 제외 합계</t>
    <phoneticPr fontId="14" type="noConversion"/>
  </si>
  <si>
    <t>→</t>
    <phoneticPr fontId="14" type="noConversion"/>
  </si>
  <si>
    <r>
      <rPr>
        <b/>
        <u/>
        <sz val="16"/>
        <color theme="1"/>
        <rFont val="맑은 고딕"/>
        <family val="3"/>
        <charset val="129"/>
        <scheme val="minor"/>
      </rPr>
      <t xml:space="preserve">무해지환급형(표준형 대비 보험료 30%할인) </t>
    </r>
    <r>
      <rPr>
        <b/>
        <sz val="16"/>
        <color theme="1"/>
        <rFont val="맑은 고딕"/>
        <family val="3"/>
        <charset val="129"/>
        <scheme val="minor"/>
      </rPr>
      <t xml:space="preserve">으로 적용시
30세 만기와 100세 만기의 보험료 차이가 크지 않아 
납입여력이 가능한 경우 100세 만기 권고
</t>
    </r>
    <r>
      <rPr>
        <b/>
        <sz val="16"/>
        <color rgb="FFFF0000"/>
        <rFont val="맑은 고딕"/>
        <family val="3"/>
        <charset val="129"/>
        <scheme val="minor"/>
      </rPr>
      <t>(30세 만기는 표준형/무해지환급형不)</t>
    </r>
    <phoneticPr fontId="22" type="noConversion"/>
  </si>
  <si>
    <t>생년월일</t>
    <phoneticPr fontId="4" type="noConversion"/>
  </si>
  <si>
    <r>
      <rPr>
        <b/>
        <sz val="12"/>
        <color theme="1"/>
        <rFont val="Segoe UI Symbol"/>
        <family val="3"/>
      </rPr>
      <t>✔</t>
    </r>
    <r>
      <rPr>
        <b/>
        <sz val="12"/>
        <color theme="1"/>
        <rFont val="맑은 고딕"/>
        <family val="3"/>
        <charset val="128"/>
        <scheme val="major"/>
      </rPr>
      <t xml:space="preserve"> </t>
    </r>
    <r>
      <rPr>
        <b/>
        <sz val="12"/>
        <color theme="1"/>
        <rFont val="맑은 고딕"/>
        <family val="3"/>
        <charset val="129"/>
        <scheme val="major"/>
      </rPr>
      <t xml:space="preserve">어린이보험 </t>
    </r>
    <phoneticPr fontId="22" type="noConversion"/>
  </si>
  <si>
    <r>
      <rPr>
        <b/>
        <sz val="12"/>
        <color theme="1"/>
        <rFont val="Segoe UI Symbol"/>
        <family val="3"/>
      </rPr>
      <t>✔</t>
    </r>
    <r>
      <rPr>
        <b/>
        <sz val="12"/>
        <color theme="1"/>
        <rFont val="맑은 고딕"/>
        <family val="3"/>
        <charset val="129"/>
        <scheme val="major"/>
      </rPr>
      <t xml:space="preserve"> 어린이보험 </t>
    </r>
    <phoneticPr fontId="22" type="noConversion"/>
  </si>
  <si>
    <r>
      <rPr>
        <b/>
        <sz val="12"/>
        <color theme="1"/>
        <rFont val="Segoe UI Symbol"/>
        <family val="3"/>
      </rPr>
      <t>✔</t>
    </r>
    <r>
      <rPr>
        <b/>
        <sz val="12"/>
        <color theme="1"/>
        <rFont val="맑은 고딕"/>
        <family val="3"/>
        <charset val="129"/>
        <scheme val="major"/>
      </rPr>
      <t xml:space="preserve"> 단독실손 </t>
    </r>
    <phoneticPr fontId="22" type="noConversion"/>
  </si>
  <si>
    <t>20년납</t>
    <phoneticPr fontId="14" type="noConversion"/>
  </si>
  <si>
    <t>1~5종수술비</t>
    <phoneticPr fontId="4" type="noConversion"/>
  </si>
  <si>
    <r>
      <rPr>
        <b/>
        <sz val="15"/>
        <color rgb="FFFF0000"/>
        <rFont val="맑은 고딕"/>
        <family val="3"/>
        <charset val="129"/>
      </rPr>
      <t>갱신 예상</t>
    </r>
    <r>
      <rPr>
        <b/>
        <sz val="15"/>
        <color rgb="FF000000"/>
        <rFont val="맑은 고딕"/>
        <family val="3"/>
        <charset val="129"/>
      </rPr>
      <t xml:space="preserve"> 절감 금액</t>
    </r>
    <phoneticPr fontId="22" type="noConversion"/>
  </si>
  <si>
    <r>
      <rPr>
        <b/>
        <sz val="15"/>
        <color rgb="FFFF0000"/>
        <rFont val="맑은 고딕"/>
        <family val="3"/>
        <charset val="129"/>
      </rPr>
      <t>갱신 예상</t>
    </r>
    <r>
      <rPr>
        <b/>
        <sz val="15"/>
        <color rgb="FF000000"/>
        <rFont val="맑은 고딕"/>
        <family val="3"/>
        <charset val="129"/>
      </rPr>
      <t xml:space="preserve"> 전체보험료</t>
    </r>
    <phoneticPr fontId="22" type="noConversion"/>
  </si>
  <si>
    <t>ㅗ</t>
    <phoneticPr fontId="22" type="noConversion"/>
  </si>
  <si>
    <t xml:space="preserve"> - 무해지 (30%할인) 적용 가능</t>
    <phoneticPr fontId="22" type="noConversion"/>
  </si>
  <si>
    <r>
      <t xml:space="preserve"> - </t>
    </r>
    <r>
      <rPr>
        <b/>
        <sz val="12.5"/>
        <color rgb="FFFF0000"/>
        <rFont val="맑은 고딕"/>
        <family val="3"/>
        <charset val="129"/>
        <scheme val="minor"/>
      </rPr>
      <t>30세 대비 3배 이상 비쌈
무해지 (30%할인) 적용시 실제 2배 정도 차이</t>
    </r>
    <phoneticPr fontId="22" type="noConversion"/>
  </si>
  <si>
    <t>VIP 고객님 태아보험 컨설팅</t>
    <phoneticPr fontId="22" type="noConversion"/>
  </si>
  <si>
    <t>30세만기</t>
    <phoneticPr fontId="22" type="noConversion"/>
  </si>
  <si>
    <t>(1년 이내)</t>
    <phoneticPr fontId="22" type="noConversion"/>
  </si>
  <si>
    <t>(1년 이후)</t>
    <phoneticPr fontId="22" type="noConversion"/>
  </si>
  <si>
    <t>(3살 이후)</t>
    <phoneticPr fontId="22" type="noConversion"/>
  </si>
  <si>
    <t>암주요치료비</t>
    <phoneticPr fontId="4" type="noConversion"/>
  </si>
  <si>
    <t>치료비</t>
    <phoneticPr fontId="4" type="noConversion"/>
  </si>
  <si>
    <t>항암치료/표적/중입자</t>
    <phoneticPr fontId="4" type="noConversion"/>
  </si>
  <si>
    <t xml:space="preserve">VIP 고객님 통합보장 분석                                                                                                                                        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</si>
</sst>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₩&quot;#,##0"/>
    <numFmt numFmtId="177" formatCode="#,##0_);[Red]\(#,##0\)"/>
    <numFmt numFmtId="178" formatCode="#,##0;[Red]#,##0"/>
    <numFmt numFmtId="179" formatCode="#,##0_ "/>
    <numFmt numFmtId="180" formatCode="&quot;₩&quot;#,##0_);[Red]\(&quot;₩&quot;#,##0\)"/>
    <numFmt numFmtId="181" formatCode="&quot;₩&quot;#,##0;[Red]&quot;₩&quot;#,##0"/>
    <numFmt numFmtId="182" formatCode="#,###&quot;원&quot;"/>
    <numFmt numFmtId="183" formatCode="yyyy&quot;/&quot;m&quot;/&quot;d;@"/>
    <numFmt numFmtId="184" formatCode="&quot;상령일 →&quot;\ mm\/dd"/>
  </numFmts>
  <fonts count="7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4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9"/>
      <color rgb="FFFF0000"/>
      <name val="맑은 고딕"/>
      <family val="3"/>
      <charset val="129"/>
      <scheme val="minor"/>
    </font>
    <font>
      <b/>
      <sz val="19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b/>
      <sz val="12"/>
      <color theme="1"/>
      <name val="Segoe UI Symbol"/>
      <family val="3"/>
    </font>
    <font>
      <b/>
      <sz val="12"/>
      <color theme="1"/>
      <name val="맑은 고딕"/>
      <family val="3"/>
      <charset val="128"/>
      <scheme val="major"/>
    </font>
    <font>
      <b/>
      <sz val="10"/>
      <color theme="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나눔고딕"/>
      <family val="2"/>
      <charset val="129"/>
    </font>
    <font>
      <b/>
      <sz val="25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sz val="8"/>
      <name val="나눔고딕"/>
      <family val="2"/>
      <charset val="129"/>
    </font>
    <font>
      <b/>
      <sz val="15"/>
      <color rgb="FF000000"/>
      <name val="맑은 고딕"/>
      <family val="3"/>
      <charset val="129"/>
    </font>
    <font>
      <b/>
      <sz val="15"/>
      <name val="맑은 고딕"/>
      <family val="3"/>
      <charset val="129"/>
    </font>
    <font>
      <sz val="11"/>
      <name val="나눔고딕"/>
      <family val="2"/>
      <charset val="129"/>
    </font>
    <font>
      <b/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</font>
    <font>
      <sz val="15"/>
      <name val="나눔고딕"/>
      <family val="2"/>
      <charset val="129"/>
    </font>
    <font>
      <b/>
      <sz val="12.5"/>
      <color theme="1"/>
      <name val="맑은 고딕"/>
      <family val="3"/>
      <charset val="129"/>
      <scheme val="minor"/>
    </font>
    <font>
      <sz val="10"/>
      <color theme="1"/>
      <name val="나눔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17"/>
      <color theme="1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b/>
      <sz val="18"/>
      <color rgb="FFFF0000"/>
      <name val="Malgun Gothic"/>
      <family val="3"/>
      <charset val="129"/>
    </font>
    <font>
      <b/>
      <sz val="15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5"/>
      <color rgb="FF0070C0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6"/>
      <color rgb="FF0070C0"/>
      <name val="맑은 고딕"/>
      <family val="3"/>
      <charset val="129"/>
      <scheme val="minor"/>
    </font>
    <font>
      <b/>
      <sz val="12.5"/>
      <color rgb="FF0070C0"/>
      <name val="맑은 고딕"/>
      <family val="3"/>
      <charset val="129"/>
      <scheme val="minor"/>
    </font>
    <font>
      <sz val="12.5"/>
      <color rgb="FFFF0000"/>
      <name val="맑은 고딕"/>
      <family val="3"/>
      <charset val="129"/>
      <scheme val="minor"/>
    </font>
    <font>
      <b/>
      <sz val="12.5"/>
      <color rgb="FFFF0000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12"/>
      <color theme="1" tint="0.499984740745262"/>
      <name val="배달의민족 을지로체 TTF"/>
      <family val="3"/>
      <charset val="129"/>
    </font>
    <font>
      <b/>
      <sz val="16"/>
      <color theme="1" tint="0.499984740745262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16"/>
      <color indexed="8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rgb="FF99FF6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/>
      <bottom/>
      <diagonal/>
    </border>
    <border>
      <left/>
      <right/>
      <top/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 style="medium">
        <color theme="6"/>
      </right>
      <top/>
      <bottom style="medium">
        <color theme="6"/>
      </bottom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 style="medium">
        <color theme="6"/>
      </right>
      <top style="medium">
        <color theme="6"/>
      </top>
      <bottom style="medium">
        <color theme="6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6"/>
      </right>
      <top style="medium">
        <color theme="6"/>
      </top>
      <bottom/>
      <diagonal/>
    </border>
    <border>
      <left/>
      <right style="medium">
        <color theme="6"/>
      </right>
      <top/>
      <bottom/>
      <diagonal/>
    </border>
    <border>
      <left/>
      <right style="medium">
        <color theme="6"/>
      </right>
      <top/>
      <bottom style="medium">
        <color theme="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</cellStyleXfs>
  <cellXfs count="445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77" fontId="12" fillId="3" borderId="2" xfId="0" applyNumberFormat="1" applyFont="1" applyFill="1" applyBorder="1" applyAlignment="1">
      <alignment horizontal="right" vertical="center"/>
    </xf>
    <xf numFmtId="177" fontId="12" fillId="3" borderId="2" xfId="0" quotePrefix="1" applyNumberFormat="1" applyFont="1" applyFill="1" applyBorder="1" applyAlignment="1">
      <alignment horizontal="right" vertical="center"/>
    </xf>
    <xf numFmtId="177" fontId="12" fillId="3" borderId="2" xfId="0" applyNumberFormat="1" applyFont="1" applyFill="1" applyBorder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textRotation="255"/>
    </xf>
    <xf numFmtId="176" fontId="10" fillId="3" borderId="2" xfId="0" applyNumberFormat="1" applyFont="1" applyFill="1" applyBorder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 wrapText="1"/>
    </xf>
    <xf numFmtId="177" fontId="8" fillId="3" borderId="2" xfId="0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/>
    </xf>
    <xf numFmtId="177" fontId="9" fillId="4" borderId="3" xfId="0" applyNumberFormat="1" applyFont="1" applyFill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9" xfId="0" applyFont="1" applyBorder="1">
      <alignment vertical="center"/>
    </xf>
    <xf numFmtId="179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3" xfId="0" applyFont="1" applyBorder="1">
      <alignment vertical="center"/>
    </xf>
    <xf numFmtId="0" fontId="16" fillId="0" borderId="14" xfId="0" applyFont="1" applyBorder="1" applyAlignment="1">
      <alignment horizontal="center" vertical="center"/>
    </xf>
    <xf numFmtId="179" fontId="17" fillId="0" borderId="10" xfId="0" applyNumberFormat="1" applyFont="1" applyBorder="1" applyAlignment="1">
      <alignment horizontal="center" vertical="center"/>
    </xf>
    <xf numFmtId="3" fontId="16" fillId="0" borderId="10" xfId="0" applyNumberFormat="1" applyFont="1" applyBorder="1" applyAlignment="1">
      <alignment horizontal="center" vertical="center"/>
    </xf>
    <xf numFmtId="0" fontId="16" fillId="17" borderId="10" xfId="0" applyFont="1" applyFill="1" applyBorder="1" applyAlignment="1">
      <alignment horizontal="center" vertical="center"/>
    </xf>
    <xf numFmtId="0" fontId="16" fillId="18" borderId="10" xfId="0" applyFont="1" applyFill="1" applyBorder="1" applyAlignment="1">
      <alignment horizontal="center" vertical="center"/>
    </xf>
    <xf numFmtId="0" fontId="15" fillId="18" borderId="10" xfId="0" applyFont="1" applyFill="1" applyBorder="1" applyAlignment="1">
      <alignment horizontal="center" vertical="center"/>
    </xf>
    <xf numFmtId="178" fontId="20" fillId="0" borderId="1" xfId="0" applyNumberFormat="1" applyFont="1" applyBorder="1" applyAlignment="1">
      <alignment horizontal="center" vertical="center"/>
    </xf>
    <xf numFmtId="180" fontId="19" fillId="0" borderId="1" xfId="0" applyNumberFormat="1" applyFont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  <xf numFmtId="181" fontId="20" fillId="0" borderId="1" xfId="0" applyNumberFormat="1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0" fontId="16" fillId="18" borderId="20" xfId="0" applyFont="1" applyFill="1" applyBorder="1" applyAlignment="1">
      <alignment horizontal="center" vertical="center"/>
    </xf>
    <xf numFmtId="0" fontId="15" fillId="18" borderId="20" xfId="0" applyFont="1" applyFill="1" applyBorder="1" applyAlignment="1">
      <alignment horizontal="center" vertical="center"/>
    </xf>
    <xf numFmtId="0" fontId="16" fillId="17" borderId="20" xfId="0" applyFont="1" applyFill="1" applyBorder="1" applyAlignment="1">
      <alignment horizontal="center" vertical="center"/>
    </xf>
    <xf numFmtId="0" fontId="15" fillId="17" borderId="2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79" fontId="17" fillId="0" borderId="12" xfId="0" applyNumberFormat="1" applyFont="1" applyBorder="1" applyAlignment="1">
      <alignment horizontal="center" vertical="center"/>
    </xf>
    <xf numFmtId="179" fontId="16" fillId="0" borderId="23" xfId="0" applyNumberFormat="1" applyFont="1" applyBorder="1" applyAlignment="1">
      <alignment horizontal="center" vertical="center"/>
    </xf>
    <xf numFmtId="179" fontId="16" fillId="0" borderId="24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179" fontId="16" fillId="0" borderId="28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177" fontId="8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textRotation="255"/>
    </xf>
    <xf numFmtId="0" fontId="10" fillId="3" borderId="0" xfId="0" applyFont="1" applyFill="1" applyAlignment="1">
      <alignment vertical="center" wrapText="1"/>
    </xf>
    <xf numFmtId="177" fontId="11" fillId="0" borderId="0" xfId="0" applyNumberFormat="1" applyFont="1" applyAlignment="1">
      <alignment vertical="center" textRotation="255"/>
    </xf>
    <xf numFmtId="177" fontId="10" fillId="3" borderId="0" xfId="0" applyNumberFormat="1" applyFont="1" applyFill="1" applyAlignment="1">
      <alignment vertical="center" wrapText="1"/>
    </xf>
    <xf numFmtId="0" fontId="23" fillId="0" borderId="0" xfId="2" applyFont="1" applyAlignment="1">
      <alignment horizontal="center" vertical="center"/>
    </xf>
    <xf numFmtId="0" fontId="25" fillId="0" borderId="0" xfId="2" applyFont="1" applyAlignment="1">
      <alignment horizontal="left" vertical="center"/>
    </xf>
    <xf numFmtId="0" fontId="23" fillId="0" borderId="0" xfId="2" applyFont="1" applyAlignment="1">
      <alignment horizontal="left" vertical="center"/>
    </xf>
    <xf numFmtId="0" fontId="25" fillId="0" borderId="0" xfId="2" applyFont="1" applyAlignment="1">
      <alignment horizontal="center" vertical="center"/>
    </xf>
    <xf numFmtId="179" fontId="25" fillId="0" borderId="0" xfId="2" applyNumberFormat="1" applyFont="1" applyAlignment="1">
      <alignment horizontal="left" vertical="center"/>
    </xf>
    <xf numFmtId="0" fontId="26" fillId="0" borderId="0" xfId="2" applyFont="1" applyAlignment="1">
      <alignment horizontal="justify" vertical="center"/>
    </xf>
    <xf numFmtId="0" fontId="23" fillId="0" borderId="15" xfId="2" applyFont="1" applyBorder="1" applyAlignment="1">
      <alignment horizontal="left" vertical="center"/>
    </xf>
    <xf numFmtId="0" fontId="23" fillId="0" borderId="0" xfId="2" applyFont="1" applyAlignment="1">
      <alignment horizontal="right" vertical="center"/>
    </xf>
    <xf numFmtId="0" fontId="29" fillId="0" borderId="0" xfId="2" applyFont="1">
      <alignment vertical="center"/>
    </xf>
    <xf numFmtId="0" fontId="24" fillId="0" borderId="0" xfId="2" applyFont="1">
      <alignment vertical="center"/>
    </xf>
    <xf numFmtId="179" fontId="25" fillId="0" borderId="0" xfId="2" applyNumberFormat="1" applyFont="1" applyAlignment="1">
      <alignment horizontal="center" vertical="center"/>
    </xf>
    <xf numFmtId="0" fontId="33" fillId="0" borderId="0" xfId="3">
      <alignment vertical="center"/>
    </xf>
    <xf numFmtId="0" fontId="36" fillId="3" borderId="0" xfId="3" applyFont="1" applyFill="1" applyAlignment="1">
      <alignment horizontal="left" vertical="center"/>
    </xf>
    <xf numFmtId="0" fontId="34" fillId="3" borderId="0" xfId="3" applyFont="1" applyFill="1" applyAlignment="1">
      <alignment horizontal="center" vertical="center"/>
    </xf>
    <xf numFmtId="0" fontId="37" fillId="3" borderId="0" xfId="3" applyFont="1" applyFill="1" applyAlignment="1">
      <alignment horizontal="left" vertical="center"/>
    </xf>
    <xf numFmtId="0" fontId="41" fillId="3" borderId="0" xfId="3" applyFont="1" applyFill="1">
      <alignment vertical="center"/>
    </xf>
    <xf numFmtId="182" fontId="43" fillId="0" borderId="12" xfId="3" applyNumberFormat="1" applyFont="1" applyBorder="1" applyAlignment="1">
      <alignment horizontal="center" vertical="center"/>
    </xf>
    <xf numFmtId="182" fontId="43" fillId="0" borderId="24" xfId="3" applyNumberFormat="1" applyFont="1" applyBorder="1" applyAlignment="1">
      <alignment horizontal="center" vertical="center"/>
    </xf>
    <xf numFmtId="182" fontId="43" fillId="0" borderId="35" xfId="3" applyNumberFormat="1" applyFont="1" applyBorder="1" applyAlignment="1">
      <alignment horizontal="center" vertical="center"/>
    </xf>
    <xf numFmtId="182" fontId="43" fillId="0" borderId="36" xfId="3" applyNumberFormat="1" applyFont="1" applyBorder="1" applyAlignment="1">
      <alignment horizontal="center" vertical="center"/>
    </xf>
    <xf numFmtId="177" fontId="43" fillId="0" borderId="12" xfId="3" applyNumberFormat="1" applyFont="1" applyBorder="1" applyAlignment="1">
      <alignment horizontal="center" vertical="center"/>
    </xf>
    <xf numFmtId="0" fontId="44" fillId="3" borderId="0" xfId="3" applyFont="1" applyFill="1">
      <alignment vertical="center"/>
    </xf>
    <xf numFmtId="0" fontId="46" fillId="0" borderId="0" xfId="3" applyFont="1">
      <alignment vertical="center"/>
    </xf>
    <xf numFmtId="181" fontId="47" fillId="0" borderId="1" xfId="0" applyNumberFormat="1" applyFont="1" applyBorder="1" applyAlignment="1">
      <alignment horizontal="center" vertical="center"/>
    </xf>
    <xf numFmtId="0" fontId="39" fillId="3" borderId="0" xfId="3" applyFont="1" applyFill="1" applyAlignment="1">
      <alignment horizontal="center" vertical="center"/>
    </xf>
    <xf numFmtId="0" fontId="39" fillId="3" borderId="43" xfId="3" applyFont="1" applyFill="1" applyBorder="1">
      <alignment vertical="center"/>
    </xf>
    <xf numFmtId="0" fontId="39" fillId="3" borderId="44" xfId="3" applyFont="1" applyFill="1" applyBorder="1">
      <alignment vertical="center"/>
    </xf>
    <xf numFmtId="177" fontId="48" fillId="22" borderId="1" xfId="0" applyNumberFormat="1" applyFont="1" applyFill="1" applyBorder="1" applyAlignment="1">
      <alignment horizontal="center" vertical="center"/>
    </xf>
    <xf numFmtId="177" fontId="48" fillId="22" borderId="1" xfId="0" applyNumberFormat="1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177" fontId="49" fillId="0" borderId="1" xfId="0" applyNumberFormat="1" applyFont="1" applyBorder="1" applyAlignment="1">
      <alignment horizontal="center" vertical="center"/>
    </xf>
    <xf numFmtId="176" fontId="50" fillId="0" borderId="1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77" fontId="8" fillId="0" borderId="0" xfId="0" applyNumberFormat="1" applyFont="1">
      <alignment vertical="center"/>
    </xf>
    <xf numFmtId="176" fontId="51" fillId="0" borderId="1" xfId="0" applyNumberFormat="1" applyFont="1" applyBorder="1" applyAlignment="1">
      <alignment horizontal="center" vertical="center"/>
    </xf>
    <xf numFmtId="176" fontId="52" fillId="0" borderId="1" xfId="0" applyNumberFormat="1" applyFont="1" applyBorder="1" applyAlignment="1">
      <alignment horizontal="center" vertical="center"/>
    </xf>
    <xf numFmtId="180" fontId="52" fillId="0" borderId="1" xfId="0" applyNumberFormat="1" applyFont="1" applyBorder="1" applyAlignment="1">
      <alignment horizontal="center" vertical="center"/>
    </xf>
    <xf numFmtId="182" fontId="37" fillId="0" borderId="35" xfId="3" applyNumberFormat="1" applyFont="1" applyBorder="1" applyAlignment="1">
      <alignment horizontal="center" vertical="center"/>
    </xf>
    <xf numFmtId="182" fontId="37" fillId="0" borderId="36" xfId="3" applyNumberFormat="1" applyFont="1" applyBorder="1" applyAlignment="1">
      <alignment horizontal="center" vertical="center"/>
    </xf>
    <xf numFmtId="182" fontId="53" fillId="0" borderId="35" xfId="3" applyNumberFormat="1" applyFont="1" applyBorder="1" applyAlignment="1">
      <alignment horizontal="center" vertical="center"/>
    </xf>
    <xf numFmtId="182" fontId="53" fillId="0" borderId="36" xfId="3" applyNumberFormat="1" applyFont="1" applyBorder="1" applyAlignment="1">
      <alignment horizontal="center" vertical="center"/>
    </xf>
    <xf numFmtId="177" fontId="6" fillId="0" borderId="0" xfId="0" applyNumberFormat="1" applyFont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178" fontId="47" fillId="0" borderId="7" xfId="0" applyNumberFormat="1" applyFont="1" applyBorder="1" applyAlignment="1">
      <alignment horizontal="center" vertical="center"/>
    </xf>
    <xf numFmtId="177" fontId="43" fillId="0" borderId="45" xfId="3" applyNumberFormat="1" applyFont="1" applyBorder="1" applyAlignment="1">
      <alignment horizontal="center" vertical="center"/>
    </xf>
    <xf numFmtId="177" fontId="43" fillId="0" borderId="46" xfId="3" applyNumberFormat="1" applyFont="1" applyBorder="1" applyAlignment="1">
      <alignment horizontal="center" vertical="center"/>
    </xf>
    <xf numFmtId="0" fontId="41" fillId="3" borderId="47" xfId="3" applyFont="1" applyFill="1" applyBorder="1">
      <alignment vertical="center"/>
    </xf>
    <xf numFmtId="177" fontId="43" fillId="0" borderId="48" xfId="3" applyNumberFormat="1" applyFont="1" applyBorder="1" applyAlignment="1">
      <alignment horizontal="center" vertical="center"/>
    </xf>
    <xf numFmtId="0" fontId="1" fillId="0" borderId="0" xfId="4">
      <alignment vertical="center"/>
    </xf>
    <xf numFmtId="0" fontId="42" fillId="0" borderId="0" xfId="4" applyFont="1" applyAlignment="1">
      <alignment horizontal="center" vertical="center"/>
    </xf>
    <xf numFmtId="0" fontId="1" fillId="0" borderId="0" xfId="4" applyAlignment="1">
      <alignment horizontal="center" vertical="center"/>
    </xf>
    <xf numFmtId="0" fontId="57" fillId="0" borderId="0" xfId="4" applyFont="1" applyAlignment="1">
      <alignment horizontal="center" vertical="center"/>
    </xf>
    <xf numFmtId="0" fontId="54" fillId="0" borderId="0" xfId="4" applyFont="1" applyAlignment="1">
      <alignment horizontal="center" vertical="center"/>
    </xf>
    <xf numFmtId="0" fontId="59" fillId="0" borderId="0" xfId="4" applyFont="1" applyAlignment="1">
      <alignment horizontal="center" vertical="center"/>
    </xf>
    <xf numFmtId="0" fontId="60" fillId="0" borderId="0" xfId="4" applyFont="1" applyAlignment="1">
      <alignment horizontal="left" vertical="center"/>
    </xf>
    <xf numFmtId="0" fontId="1" fillId="0" borderId="0" xfId="4" applyAlignment="1">
      <alignment vertical="center" wrapText="1"/>
    </xf>
    <xf numFmtId="183" fontId="8" fillId="0" borderId="3" xfId="0" applyNumberFormat="1" applyFont="1" applyBorder="1" applyAlignment="1">
      <alignment horizontal="center" vertical="center" wrapText="1"/>
    </xf>
    <xf numFmtId="183" fontId="68" fillId="0" borderId="0" xfId="1" applyNumberFormat="1" applyFont="1" applyAlignment="1">
      <alignment horizontal="right" vertical="center"/>
    </xf>
    <xf numFmtId="183" fontId="8" fillId="0" borderId="0" xfId="0" applyNumberFormat="1" applyFont="1" applyAlignment="1">
      <alignment horizontal="center" vertical="center" wrapText="1"/>
    </xf>
    <xf numFmtId="14" fontId="67" fillId="0" borderId="0" xfId="0" applyNumberFormat="1" applyFont="1" applyAlignment="1">
      <alignment vertical="center" wrapText="1"/>
    </xf>
    <xf numFmtId="184" fontId="69" fillId="0" borderId="0" xfId="1" applyNumberFormat="1" applyFont="1" applyAlignment="1">
      <alignment horizontal="center" vertical="center"/>
    </xf>
    <xf numFmtId="177" fontId="67" fillId="0" borderId="0" xfId="0" applyNumberFormat="1" applyFont="1" applyAlignment="1">
      <alignment horizontal="center" vertical="center" wrapText="1"/>
    </xf>
    <xf numFmtId="14" fontId="67" fillId="3" borderId="2" xfId="0" applyNumberFormat="1" applyFont="1" applyFill="1" applyBorder="1" applyAlignment="1">
      <alignment horizontal="center" vertical="center"/>
    </xf>
    <xf numFmtId="0" fontId="24" fillId="9" borderId="9" xfId="2" applyFont="1" applyFill="1" applyBorder="1" applyAlignment="1">
      <alignment horizontal="center" vertical="center"/>
    </xf>
    <xf numFmtId="0" fontId="24" fillId="6" borderId="9" xfId="2" applyFont="1" applyFill="1" applyBorder="1" applyAlignment="1">
      <alignment horizontal="center" vertical="center"/>
    </xf>
    <xf numFmtId="0" fontId="16" fillId="3" borderId="19" xfId="0" applyFont="1" applyFill="1" applyBorder="1">
      <alignment vertical="center"/>
    </xf>
    <xf numFmtId="0" fontId="16" fillId="3" borderId="20" xfId="0" applyFont="1" applyFill="1" applyBorder="1">
      <alignment vertical="center"/>
    </xf>
    <xf numFmtId="177" fontId="11" fillId="3" borderId="1" xfId="0" applyNumberFormat="1" applyFont="1" applyFill="1" applyBorder="1" applyAlignment="1">
      <alignment horizontal="center" vertical="center"/>
    </xf>
    <xf numFmtId="177" fontId="11" fillId="3" borderId="0" xfId="0" applyNumberFormat="1" applyFont="1" applyFill="1" applyAlignment="1">
      <alignment vertical="center" textRotation="255"/>
    </xf>
    <xf numFmtId="177" fontId="8" fillId="3" borderId="0" xfId="0" applyNumberFormat="1" applyFont="1" applyFill="1" applyAlignment="1">
      <alignment horizontal="center" vertical="center"/>
    </xf>
    <xf numFmtId="177" fontId="8" fillId="3" borderId="0" xfId="0" applyNumberFormat="1" applyFont="1" applyFill="1">
      <alignment vertical="center"/>
    </xf>
    <xf numFmtId="0" fontId="5" fillId="0" borderId="0" xfId="0" applyFont="1" applyAlignment="1">
      <alignment vertical="center" wrapText="1"/>
    </xf>
    <xf numFmtId="0" fontId="11" fillId="3" borderId="0" xfId="0" applyFont="1" applyFill="1" applyAlignment="1">
      <alignment vertical="center" textRotation="255"/>
    </xf>
    <xf numFmtId="181" fontId="47" fillId="0" borderId="0" xfId="0" applyNumberFormat="1" applyFont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177" fontId="71" fillId="0" borderId="0" xfId="0" applyNumberFormat="1" applyFont="1" applyAlignment="1">
      <alignment horizontal="center" vertical="center" wrapText="1"/>
    </xf>
    <xf numFmtId="177" fontId="61" fillId="0" borderId="1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8" fillId="18" borderId="8" xfId="0" applyFont="1" applyFill="1" applyBorder="1" applyAlignment="1">
      <alignment horizontal="center" vertical="center"/>
    </xf>
    <xf numFmtId="0" fontId="8" fillId="18" borderId="7" xfId="0" applyFont="1" applyFill="1" applyBorder="1" applyAlignment="1">
      <alignment horizontal="center" vertical="center"/>
    </xf>
    <xf numFmtId="0" fontId="61" fillId="15" borderId="6" xfId="0" applyFont="1" applyFill="1" applyBorder="1" applyAlignment="1">
      <alignment horizontal="center" vertical="center"/>
    </xf>
    <xf numFmtId="0" fontId="61" fillId="15" borderId="8" xfId="0" applyFont="1" applyFill="1" applyBorder="1" applyAlignment="1">
      <alignment horizontal="center" vertical="center"/>
    </xf>
    <xf numFmtId="0" fontId="61" fillId="15" borderId="7" xfId="0" applyFont="1" applyFill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18" borderId="4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8" fillId="18" borderId="5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177" fontId="8" fillId="7" borderId="6" xfId="0" applyNumberFormat="1" applyFont="1" applyFill="1" applyBorder="1" applyAlignment="1">
      <alignment horizontal="center" vertical="center"/>
    </xf>
    <xf numFmtId="177" fontId="8" fillId="7" borderId="7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177" fontId="61" fillId="7" borderId="6" xfId="0" applyNumberFormat="1" applyFont="1" applyFill="1" applyBorder="1" applyAlignment="1">
      <alignment horizontal="center" vertical="center"/>
    </xf>
    <xf numFmtId="177" fontId="61" fillId="7" borderId="7" xfId="0" applyNumberFormat="1" applyFont="1" applyFill="1" applyBorder="1" applyAlignment="1">
      <alignment horizontal="center" vertical="center"/>
    </xf>
    <xf numFmtId="183" fontId="8" fillId="23" borderId="10" xfId="0" applyNumberFormat="1" applyFont="1" applyFill="1" applyBorder="1" applyAlignment="1">
      <alignment horizontal="center" vertical="center" wrapText="1"/>
    </xf>
    <xf numFmtId="183" fontId="70" fillId="14" borderId="12" xfId="1" applyNumberFormat="1" applyFont="1" applyFill="1" applyBorder="1" applyAlignment="1">
      <alignment horizontal="center" vertical="center"/>
    </xf>
    <xf numFmtId="183" fontId="70" fillId="14" borderId="11" xfId="1" applyNumberFormat="1" applyFont="1" applyFill="1" applyBorder="1" applyAlignment="1">
      <alignment horizontal="center" vertical="center"/>
    </xf>
    <xf numFmtId="183" fontId="8" fillId="0" borderId="10" xfId="0" applyNumberFormat="1" applyFont="1" applyBorder="1" applyAlignment="1">
      <alignment horizontal="center" vertical="center" wrapText="1"/>
    </xf>
    <xf numFmtId="184" fontId="70" fillId="17" borderId="12" xfId="1" applyNumberFormat="1" applyFont="1" applyFill="1" applyBorder="1" applyAlignment="1">
      <alignment horizontal="center" vertical="center"/>
    </xf>
    <xf numFmtId="184" fontId="70" fillId="17" borderId="11" xfId="1" applyNumberFormat="1" applyFont="1" applyFill="1" applyBorder="1" applyAlignment="1">
      <alignment horizontal="center" vertical="center"/>
    </xf>
    <xf numFmtId="0" fontId="8" fillId="19" borderId="6" xfId="0" applyFont="1" applyFill="1" applyBorder="1" applyAlignment="1">
      <alignment horizontal="center" vertical="center"/>
    </xf>
    <xf numFmtId="0" fontId="8" fillId="19" borderId="8" xfId="0" applyFont="1" applyFill="1" applyBorder="1" applyAlignment="1">
      <alignment horizontal="center" vertical="center"/>
    </xf>
    <xf numFmtId="0" fontId="8" fillId="19" borderId="7" xfId="0" applyFont="1" applyFill="1" applyBorder="1" applyAlignment="1">
      <alignment horizontal="center" vertical="center"/>
    </xf>
    <xf numFmtId="0" fontId="8" fillId="23" borderId="4" xfId="0" applyFont="1" applyFill="1" applyBorder="1" applyAlignment="1">
      <alignment horizontal="center" vertical="center" wrapText="1"/>
    </xf>
    <xf numFmtId="0" fontId="8" fillId="23" borderId="2" xfId="0" applyFont="1" applyFill="1" applyBorder="1" applyAlignment="1">
      <alignment horizontal="center" vertical="center" wrapText="1"/>
    </xf>
    <xf numFmtId="0" fontId="8" fillId="23" borderId="5" xfId="0" applyFont="1" applyFill="1" applyBorder="1" applyAlignment="1">
      <alignment horizontal="center" vertical="center" wrapText="1"/>
    </xf>
    <xf numFmtId="0" fontId="8" fillId="23" borderId="6" xfId="0" applyFont="1" applyFill="1" applyBorder="1" applyAlignment="1">
      <alignment horizontal="center" vertical="center"/>
    </xf>
    <xf numFmtId="0" fontId="8" fillId="23" borderId="8" xfId="0" applyFont="1" applyFill="1" applyBorder="1" applyAlignment="1">
      <alignment horizontal="center" vertical="center"/>
    </xf>
    <xf numFmtId="0" fontId="8" fillId="23" borderId="7" xfId="0" applyFont="1" applyFill="1" applyBorder="1" applyAlignment="1">
      <alignment horizontal="center" vertical="center"/>
    </xf>
    <xf numFmtId="0" fontId="9" fillId="19" borderId="4" xfId="0" applyFont="1" applyFill="1" applyBorder="1" applyAlignment="1">
      <alignment horizontal="center" vertical="center" wrapText="1"/>
    </xf>
    <xf numFmtId="0" fontId="9" fillId="19" borderId="5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textRotation="255"/>
    </xf>
    <xf numFmtId="0" fontId="11" fillId="13" borderId="2" xfId="0" applyFont="1" applyFill="1" applyBorder="1" applyAlignment="1">
      <alignment horizontal="center" vertical="center" textRotation="255"/>
    </xf>
    <xf numFmtId="0" fontId="11" fillId="13" borderId="5" xfId="0" applyFont="1" applyFill="1" applyBorder="1" applyAlignment="1">
      <alignment horizontal="center" vertical="center" textRotation="255"/>
    </xf>
    <xf numFmtId="0" fontId="8" fillId="7" borderId="1" xfId="0" applyFont="1" applyFill="1" applyBorder="1" applyAlignment="1">
      <alignment horizontal="center" vertical="center" wrapText="1"/>
    </xf>
    <xf numFmtId="177" fontId="8" fillId="5" borderId="4" xfId="0" applyNumberFormat="1" applyFont="1" applyFill="1" applyBorder="1" applyAlignment="1">
      <alignment horizontal="center" vertical="center"/>
    </xf>
    <xf numFmtId="177" fontId="8" fillId="5" borderId="2" xfId="0" applyNumberFormat="1" applyFont="1" applyFill="1" applyBorder="1" applyAlignment="1">
      <alignment horizontal="center" vertical="center"/>
    </xf>
    <xf numFmtId="177" fontId="8" fillId="5" borderId="5" xfId="0" applyNumberFormat="1" applyFont="1" applyFill="1" applyBorder="1" applyAlignment="1">
      <alignment horizontal="center" vertical="center"/>
    </xf>
    <xf numFmtId="177" fontId="8" fillId="14" borderId="6" xfId="0" applyNumberFormat="1" applyFont="1" applyFill="1" applyBorder="1" applyAlignment="1">
      <alignment horizontal="center" vertical="center"/>
    </xf>
    <xf numFmtId="177" fontId="8" fillId="14" borderId="8" xfId="0" applyNumberFormat="1" applyFont="1" applyFill="1" applyBorder="1" applyAlignment="1">
      <alignment horizontal="center" vertical="center"/>
    </xf>
    <xf numFmtId="177" fontId="8" fillId="14" borderId="7" xfId="0" applyNumberFormat="1" applyFont="1" applyFill="1" applyBorder="1" applyAlignment="1">
      <alignment horizontal="center" vertical="center"/>
    </xf>
    <xf numFmtId="177" fontId="8" fillId="15" borderId="6" xfId="0" applyNumberFormat="1" applyFont="1" applyFill="1" applyBorder="1" applyAlignment="1">
      <alignment horizontal="center" vertical="center"/>
    </xf>
    <xf numFmtId="177" fontId="8" fillId="15" borderId="8" xfId="0" applyNumberFormat="1" applyFont="1" applyFill="1" applyBorder="1" applyAlignment="1">
      <alignment horizontal="center" vertical="center"/>
    </xf>
    <xf numFmtId="177" fontId="8" fillId="15" borderId="7" xfId="0" applyNumberFormat="1" applyFont="1" applyFill="1" applyBorder="1" applyAlignment="1">
      <alignment horizontal="center" vertical="center"/>
    </xf>
    <xf numFmtId="177" fontId="8" fillId="9" borderId="6" xfId="0" applyNumberFormat="1" applyFont="1" applyFill="1" applyBorder="1" applyAlignment="1">
      <alignment horizontal="center" vertical="center"/>
    </xf>
    <xf numFmtId="177" fontId="8" fillId="9" borderId="8" xfId="0" applyNumberFormat="1" applyFont="1" applyFill="1" applyBorder="1" applyAlignment="1">
      <alignment horizontal="center" vertical="center"/>
    </xf>
    <xf numFmtId="177" fontId="8" fillId="9" borderId="7" xfId="0" applyNumberFormat="1" applyFont="1" applyFill="1" applyBorder="1" applyAlignment="1">
      <alignment horizontal="center" vertical="center"/>
    </xf>
    <xf numFmtId="177" fontId="8" fillId="10" borderId="6" xfId="0" applyNumberFormat="1" applyFont="1" applyFill="1" applyBorder="1" applyAlignment="1">
      <alignment horizontal="center" vertical="center"/>
    </xf>
    <xf numFmtId="177" fontId="8" fillId="10" borderId="8" xfId="0" applyNumberFormat="1" applyFont="1" applyFill="1" applyBorder="1" applyAlignment="1">
      <alignment horizontal="center" vertical="center"/>
    </xf>
    <xf numFmtId="177" fontId="8" fillId="10" borderId="7" xfId="0" applyNumberFormat="1" applyFont="1" applyFill="1" applyBorder="1" applyAlignment="1">
      <alignment horizontal="center" vertical="center"/>
    </xf>
    <xf numFmtId="177" fontId="8" fillId="11" borderId="4" xfId="0" applyNumberFormat="1" applyFont="1" applyFill="1" applyBorder="1" applyAlignment="1">
      <alignment horizontal="center" vertical="center" wrapText="1"/>
    </xf>
    <xf numFmtId="177" fontId="8" fillId="11" borderId="5" xfId="0" applyNumberFormat="1" applyFont="1" applyFill="1" applyBorder="1" applyAlignment="1">
      <alignment horizontal="center" vertical="center" wrapText="1"/>
    </xf>
    <xf numFmtId="177" fontId="8" fillId="11" borderId="6" xfId="0" applyNumberFormat="1" applyFont="1" applyFill="1" applyBorder="1" applyAlignment="1">
      <alignment horizontal="center" vertical="center"/>
    </xf>
    <xf numFmtId="177" fontId="8" fillId="11" borderId="8" xfId="0" applyNumberFormat="1" applyFont="1" applyFill="1" applyBorder="1" applyAlignment="1">
      <alignment horizontal="center" vertical="center"/>
    </xf>
    <xf numFmtId="177" fontId="8" fillId="11" borderId="7" xfId="0" applyNumberFormat="1" applyFont="1" applyFill="1" applyBorder="1" applyAlignment="1">
      <alignment horizontal="center" vertical="center"/>
    </xf>
    <xf numFmtId="0" fontId="8" fillId="18" borderId="31" xfId="0" applyFont="1" applyFill="1" applyBorder="1" applyAlignment="1">
      <alignment horizontal="center" vertical="center" wrapText="1"/>
    </xf>
    <xf numFmtId="0" fontId="8" fillId="18" borderId="32" xfId="0" applyFont="1" applyFill="1" applyBorder="1" applyAlignment="1">
      <alignment horizontal="center" vertical="center" wrapText="1"/>
    </xf>
    <xf numFmtId="0" fontId="8" fillId="18" borderId="33" xfId="0" applyFont="1" applyFill="1" applyBorder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7" fontId="8" fillId="12" borderId="1" xfId="0" applyNumberFormat="1" applyFont="1" applyFill="1" applyBorder="1" applyAlignment="1">
      <alignment horizontal="center" vertical="center"/>
    </xf>
    <xf numFmtId="177" fontId="8" fillId="15" borderId="4" xfId="0" applyNumberFormat="1" applyFont="1" applyFill="1" applyBorder="1" applyAlignment="1">
      <alignment horizontal="center" vertical="center" wrapText="1"/>
    </xf>
    <xf numFmtId="177" fontId="8" fillId="15" borderId="2" xfId="0" applyNumberFormat="1" applyFont="1" applyFill="1" applyBorder="1" applyAlignment="1">
      <alignment horizontal="center" vertical="center" wrapText="1"/>
    </xf>
    <xf numFmtId="177" fontId="8" fillId="15" borderId="5" xfId="0" applyNumberFormat="1" applyFont="1" applyFill="1" applyBorder="1" applyAlignment="1">
      <alignment horizontal="center" vertical="center" wrapText="1"/>
    </xf>
    <xf numFmtId="177" fontId="8" fillId="14" borderId="31" xfId="0" applyNumberFormat="1" applyFont="1" applyFill="1" applyBorder="1" applyAlignment="1">
      <alignment horizontal="center" vertical="center" wrapText="1"/>
    </xf>
    <xf numFmtId="177" fontId="8" fillId="14" borderId="32" xfId="0" applyNumberFormat="1" applyFont="1" applyFill="1" applyBorder="1" applyAlignment="1">
      <alignment horizontal="center" vertical="center" wrapText="1"/>
    </xf>
    <xf numFmtId="177" fontId="8" fillId="14" borderId="33" xfId="0" applyNumberFormat="1" applyFont="1" applyFill="1" applyBorder="1" applyAlignment="1">
      <alignment horizontal="center" vertical="center" wrapText="1"/>
    </xf>
    <xf numFmtId="177" fontId="8" fillId="6" borderId="4" xfId="0" applyNumberFormat="1" applyFont="1" applyFill="1" applyBorder="1" applyAlignment="1">
      <alignment horizontal="center" vertical="center" wrapText="1"/>
    </xf>
    <xf numFmtId="177" fontId="8" fillId="6" borderId="2" xfId="0" applyNumberFormat="1" applyFont="1" applyFill="1" applyBorder="1" applyAlignment="1">
      <alignment horizontal="center" vertical="center" wrapText="1"/>
    </xf>
    <xf numFmtId="177" fontId="8" fillId="6" borderId="5" xfId="0" applyNumberFormat="1" applyFont="1" applyFill="1" applyBorder="1" applyAlignment="1">
      <alignment horizontal="center" vertical="center" wrapText="1"/>
    </xf>
    <xf numFmtId="177" fontId="8" fillId="6" borderId="6" xfId="0" applyNumberFormat="1" applyFont="1" applyFill="1" applyBorder="1" applyAlignment="1">
      <alignment horizontal="center" vertical="center"/>
    </xf>
    <xf numFmtId="177" fontId="8" fillId="6" borderId="7" xfId="0" applyNumberFormat="1" applyFont="1" applyFill="1" applyBorder="1" applyAlignment="1">
      <alignment horizontal="center" vertical="center"/>
    </xf>
    <xf numFmtId="177" fontId="11" fillId="13" borderId="4" xfId="0" applyNumberFormat="1" applyFont="1" applyFill="1" applyBorder="1" applyAlignment="1">
      <alignment horizontal="center" vertical="center" textRotation="255"/>
    </xf>
    <xf numFmtId="177" fontId="11" fillId="13" borderId="2" xfId="0" applyNumberFormat="1" applyFont="1" applyFill="1" applyBorder="1" applyAlignment="1">
      <alignment horizontal="center" vertical="center" textRotation="255"/>
    </xf>
    <xf numFmtId="177" fontId="11" fillId="13" borderId="5" xfId="0" applyNumberFormat="1" applyFont="1" applyFill="1" applyBorder="1" applyAlignment="1">
      <alignment horizontal="center" vertical="center" textRotation="255"/>
    </xf>
    <xf numFmtId="177" fontId="8" fillId="5" borderId="4" xfId="0" applyNumberFormat="1" applyFont="1" applyFill="1" applyBorder="1" applyAlignment="1">
      <alignment horizontal="center" vertical="center" wrapText="1"/>
    </xf>
    <xf numFmtId="177" fontId="8" fillId="5" borderId="2" xfId="0" applyNumberFormat="1" applyFont="1" applyFill="1" applyBorder="1" applyAlignment="1">
      <alignment horizontal="center" vertical="center" wrapText="1"/>
    </xf>
    <xf numFmtId="177" fontId="8" fillId="5" borderId="5" xfId="0" applyNumberFormat="1" applyFont="1" applyFill="1" applyBorder="1" applyAlignment="1">
      <alignment horizontal="center" vertical="center" wrapText="1"/>
    </xf>
    <xf numFmtId="177" fontId="8" fillId="9" borderId="4" xfId="0" applyNumberFormat="1" applyFont="1" applyFill="1" applyBorder="1" applyAlignment="1">
      <alignment horizontal="center" vertical="center" wrapText="1"/>
    </xf>
    <xf numFmtId="177" fontId="8" fillId="9" borderId="2" xfId="0" applyNumberFormat="1" applyFont="1" applyFill="1" applyBorder="1" applyAlignment="1">
      <alignment horizontal="center" vertical="center" wrapText="1"/>
    </xf>
    <xf numFmtId="177" fontId="8" fillId="9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/>
    </xf>
    <xf numFmtId="177" fontId="8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7" fontId="8" fillId="8" borderId="6" xfId="0" applyNumberFormat="1" applyFont="1" applyFill="1" applyBorder="1" applyAlignment="1">
      <alignment horizontal="center" vertical="center"/>
    </xf>
    <xf numFmtId="177" fontId="8" fillId="8" borderId="8" xfId="0" applyNumberFormat="1" applyFont="1" applyFill="1" applyBorder="1" applyAlignment="1">
      <alignment horizontal="center" vertical="center"/>
    </xf>
    <xf numFmtId="177" fontId="8" fillId="8" borderId="7" xfId="0" applyNumberFormat="1" applyFont="1" applyFill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177" fontId="8" fillId="8" borderId="4" xfId="0" applyNumberFormat="1" applyFont="1" applyFill="1" applyBorder="1" applyAlignment="1">
      <alignment horizontal="center" vertical="center" wrapText="1"/>
    </xf>
    <xf numFmtId="177" fontId="8" fillId="8" borderId="5" xfId="0" applyNumberFormat="1" applyFont="1" applyFill="1" applyBorder="1" applyAlignment="1">
      <alignment horizontal="center" vertical="center" wrapText="1"/>
    </xf>
    <xf numFmtId="177" fontId="8" fillId="12" borderId="6" xfId="0" applyNumberFormat="1" applyFont="1" applyFill="1" applyBorder="1" applyAlignment="1">
      <alignment horizontal="center" vertical="center"/>
    </xf>
    <xf numFmtId="177" fontId="8" fillId="12" borderId="7" xfId="0" applyNumberFormat="1" applyFont="1" applyFill="1" applyBorder="1" applyAlignment="1">
      <alignment horizontal="center" vertical="center"/>
    </xf>
    <xf numFmtId="177" fontId="8" fillId="7" borderId="6" xfId="0" applyNumberFormat="1" applyFont="1" applyFill="1" applyBorder="1" applyAlignment="1">
      <alignment horizontal="center" vertical="center" wrapText="1"/>
    </xf>
    <xf numFmtId="177" fontId="8" fillId="7" borderId="7" xfId="0" applyNumberFormat="1" applyFont="1" applyFill="1" applyBorder="1" applyAlignment="1">
      <alignment horizontal="center" vertical="center" wrapText="1"/>
    </xf>
    <xf numFmtId="177" fontId="8" fillId="6" borderId="6" xfId="0" applyNumberFormat="1" applyFont="1" applyFill="1" applyBorder="1" applyAlignment="1">
      <alignment horizontal="center" vertical="center" wrapText="1"/>
    </xf>
    <xf numFmtId="177" fontId="8" fillId="6" borderId="7" xfId="0" applyNumberFormat="1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177" fontId="12" fillId="6" borderId="6" xfId="0" applyNumberFormat="1" applyFont="1" applyFill="1" applyBorder="1" applyAlignment="1">
      <alignment horizontal="center" vertical="center"/>
    </xf>
    <xf numFmtId="177" fontId="12" fillId="6" borderId="7" xfId="0" applyNumberFormat="1" applyFont="1" applyFill="1" applyBorder="1" applyAlignment="1">
      <alignment horizontal="center" vertical="center"/>
    </xf>
    <xf numFmtId="183" fontId="8" fillId="0" borderId="3" xfId="0" applyNumberFormat="1" applyFont="1" applyBorder="1" applyAlignment="1">
      <alignment horizontal="center" vertical="center" wrapText="1"/>
    </xf>
    <xf numFmtId="177" fontId="42" fillId="7" borderId="1" xfId="0" applyNumberFormat="1" applyFont="1" applyFill="1" applyBorder="1" applyAlignment="1">
      <alignment horizontal="center" vertical="center"/>
    </xf>
    <xf numFmtId="177" fontId="42" fillId="7" borderId="6" xfId="0" applyNumberFormat="1" applyFont="1" applyFill="1" applyBorder="1" applyAlignment="1">
      <alignment horizontal="center" vertical="center"/>
    </xf>
    <xf numFmtId="177" fontId="42" fillId="7" borderId="7" xfId="0" applyNumberFormat="1" applyFont="1" applyFill="1" applyBorder="1" applyAlignment="1">
      <alignment horizontal="center" vertical="center"/>
    </xf>
    <xf numFmtId="182" fontId="43" fillId="0" borderId="37" xfId="3" applyNumberFormat="1" applyFont="1" applyBorder="1" applyAlignment="1">
      <alignment horizontal="center" vertical="center"/>
    </xf>
    <xf numFmtId="182" fontId="43" fillId="0" borderId="38" xfId="3" applyNumberFormat="1" applyFont="1" applyBorder="1" applyAlignment="1">
      <alignment horizontal="center" vertical="center"/>
    </xf>
    <xf numFmtId="0" fontId="39" fillId="3" borderId="40" xfId="3" applyFont="1" applyFill="1" applyBorder="1" applyAlignment="1">
      <alignment horizontal="center" vertical="center"/>
    </xf>
    <xf numFmtId="0" fontId="39" fillId="3" borderId="41" xfId="3" applyFont="1" applyFill="1" applyBorder="1" applyAlignment="1">
      <alignment horizontal="center" vertical="center"/>
    </xf>
    <xf numFmtId="0" fontId="39" fillId="3" borderId="42" xfId="3" applyFont="1" applyFill="1" applyBorder="1" applyAlignment="1">
      <alignment horizontal="center" vertical="center"/>
    </xf>
    <xf numFmtId="177" fontId="42" fillId="6" borderId="4" xfId="0" applyNumberFormat="1" applyFont="1" applyFill="1" applyBorder="1" applyAlignment="1">
      <alignment horizontal="center" vertical="center" wrapText="1"/>
    </xf>
    <xf numFmtId="177" fontId="42" fillId="6" borderId="2" xfId="0" applyNumberFormat="1" applyFont="1" applyFill="1" applyBorder="1" applyAlignment="1">
      <alignment horizontal="center" vertical="center" wrapText="1"/>
    </xf>
    <xf numFmtId="177" fontId="42" fillId="6" borderId="5" xfId="0" applyNumberFormat="1" applyFont="1" applyFill="1" applyBorder="1" applyAlignment="1">
      <alignment horizontal="center" vertical="center" wrapText="1"/>
    </xf>
    <xf numFmtId="177" fontId="42" fillId="6" borderId="1" xfId="0" applyNumberFormat="1" applyFont="1" applyFill="1" applyBorder="1" applyAlignment="1">
      <alignment horizontal="center" vertical="center"/>
    </xf>
    <xf numFmtId="177" fontId="45" fillId="6" borderId="1" xfId="0" applyNumberFormat="1" applyFont="1" applyFill="1" applyBorder="1" applyAlignment="1">
      <alignment horizontal="center" vertical="center"/>
    </xf>
    <xf numFmtId="177" fontId="42" fillId="6" borderId="1" xfId="0" applyNumberFormat="1" applyFont="1" applyFill="1" applyBorder="1" applyAlignment="1">
      <alignment horizontal="center" vertical="center" wrapText="1"/>
    </xf>
    <xf numFmtId="0" fontId="34" fillId="20" borderId="0" xfId="3" applyFont="1" applyFill="1" applyAlignment="1">
      <alignment horizontal="center" vertical="center"/>
    </xf>
    <xf numFmtId="0" fontId="40" fillId="21" borderId="12" xfId="3" applyFont="1" applyFill="1" applyBorder="1" applyAlignment="1">
      <alignment horizontal="center" vertical="center" wrapText="1"/>
    </xf>
    <xf numFmtId="0" fontId="40" fillId="21" borderId="34" xfId="3" applyFont="1" applyFill="1" applyBorder="1" applyAlignment="1">
      <alignment horizontal="center" vertical="center" wrapText="1"/>
    </xf>
    <xf numFmtId="0" fontId="40" fillId="21" borderId="24" xfId="3" applyFont="1" applyFill="1" applyBorder="1" applyAlignment="1">
      <alignment horizontal="center" vertical="center" wrapText="1"/>
    </xf>
    <xf numFmtId="0" fontId="39" fillId="21" borderId="35" xfId="3" applyFont="1" applyFill="1" applyBorder="1" applyAlignment="1">
      <alignment horizontal="center" vertical="center"/>
    </xf>
    <xf numFmtId="0" fontId="39" fillId="21" borderId="13" xfId="3" applyFont="1" applyFill="1" applyBorder="1" applyAlignment="1">
      <alignment horizontal="center" vertical="center"/>
    </xf>
    <xf numFmtId="0" fontId="39" fillId="21" borderId="26" xfId="3" applyFont="1" applyFill="1" applyBorder="1" applyAlignment="1">
      <alignment horizontal="center" vertical="center"/>
    </xf>
    <xf numFmtId="0" fontId="39" fillId="21" borderId="21" xfId="3" applyFont="1" applyFill="1" applyBorder="1" applyAlignment="1">
      <alignment horizontal="center" vertical="center"/>
    </xf>
    <xf numFmtId="0" fontId="39" fillId="21" borderId="15" xfId="3" applyFont="1" applyFill="1" applyBorder="1" applyAlignment="1">
      <alignment horizontal="center" vertical="center"/>
    </xf>
    <xf numFmtId="0" fontId="39" fillId="21" borderId="39" xfId="3" applyFont="1" applyFill="1" applyBorder="1" applyAlignment="1">
      <alignment horizontal="center" vertical="center"/>
    </xf>
    <xf numFmtId="0" fontId="39" fillId="3" borderId="12" xfId="3" applyFont="1" applyFill="1" applyBorder="1" applyAlignment="1">
      <alignment horizontal="center" vertical="center"/>
    </xf>
    <xf numFmtId="0" fontId="39" fillId="3" borderId="14" xfId="3" applyFont="1" applyFill="1" applyBorder="1" applyAlignment="1">
      <alignment horizontal="center" vertical="center"/>
    </xf>
    <xf numFmtId="0" fontId="39" fillId="3" borderId="11" xfId="3" applyFont="1" applyFill="1" applyBorder="1" applyAlignment="1">
      <alignment horizontal="center" vertical="center"/>
    </xf>
    <xf numFmtId="0" fontId="39" fillId="3" borderId="35" xfId="3" applyFont="1" applyFill="1" applyBorder="1" applyAlignment="1">
      <alignment horizontal="center" vertical="center"/>
    </xf>
    <xf numFmtId="0" fontId="39" fillId="3" borderId="13" xfId="3" applyFont="1" applyFill="1" applyBorder="1" applyAlignment="1">
      <alignment horizontal="center" vertical="center"/>
    </xf>
    <xf numFmtId="0" fontId="39" fillId="3" borderId="26" xfId="3" applyFont="1" applyFill="1" applyBorder="1" applyAlignment="1">
      <alignment horizontal="center" vertical="center"/>
    </xf>
    <xf numFmtId="0" fontId="39" fillId="3" borderId="10" xfId="3" applyFont="1" applyFill="1" applyBorder="1" applyAlignment="1">
      <alignment horizontal="center" vertical="center"/>
    </xf>
    <xf numFmtId="0" fontId="39" fillId="3" borderId="19" xfId="3" applyFont="1" applyFill="1" applyBorder="1" applyAlignment="1">
      <alignment horizontal="center" vertical="center"/>
    </xf>
    <xf numFmtId="177" fontId="42" fillId="5" borderId="4" xfId="0" applyNumberFormat="1" applyFont="1" applyFill="1" applyBorder="1" applyAlignment="1">
      <alignment horizontal="center" vertical="center"/>
    </xf>
    <xf numFmtId="177" fontId="42" fillId="5" borderId="2" xfId="0" applyNumberFormat="1" applyFont="1" applyFill="1" applyBorder="1" applyAlignment="1">
      <alignment horizontal="center" vertical="center"/>
    </xf>
    <xf numFmtId="177" fontId="42" fillId="5" borderId="5" xfId="0" applyNumberFormat="1" applyFont="1" applyFill="1" applyBorder="1" applyAlignment="1">
      <alignment horizontal="center" vertical="center"/>
    </xf>
    <xf numFmtId="177" fontId="42" fillId="5" borderId="4" xfId="0" applyNumberFormat="1" applyFont="1" applyFill="1" applyBorder="1" applyAlignment="1">
      <alignment horizontal="center" vertical="center" wrapText="1"/>
    </xf>
    <xf numFmtId="177" fontId="42" fillId="5" borderId="2" xfId="0" applyNumberFormat="1" applyFont="1" applyFill="1" applyBorder="1" applyAlignment="1">
      <alignment horizontal="center" vertical="center" wrapText="1"/>
    </xf>
    <xf numFmtId="177" fontId="42" fillId="5" borderId="5" xfId="0" applyNumberFormat="1" applyFont="1" applyFill="1" applyBorder="1" applyAlignment="1">
      <alignment horizontal="center" vertical="center" wrapText="1"/>
    </xf>
    <xf numFmtId="177" fontId="42" fillId="5" borderId="6" xfId="0" applyNumberFormat="1" applyFont="1" applyFill="1" applyBorder="1" applyAlignment="1">
      <alignment horizontal="center" vertical="center"/>
    </xf>
    <xf numFmtId="177" fontId="42" fillId="5" borderId="7" xfId="0" applyNumberFormat="1" applyFont="1" applyFill="1" applyBorder="1" applyAlignment="1">
      <alignment horizontal="center" vertical="center"/>
    </xf>
    <xf numFmtId="0" fontId="42" fillId="5" borderId="6" xfId="0" applyFont="1" applyFill="1" applyBorder="1" applyAlignment="1">
      <alignment horizontal="center" vertical="center"/>
    </xf>
    <xf numFmtId="0" fontId="42" fillId="5" borderId="7" xfId="0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/>
    </xf>
    <xf numFmtId="177" fontId="42" fillId="7" borderId="6" xfId="0" applyNumberFormat="1" applyFont="1" applyFill="1" applyBorder="1" applyAlignment="1">
      <alignment horizontal="center" vertical="center" wrapText="1"/>
    </xf>
    <xf numFmtId="177" fontId="42" fillId="7" borderId="7" xfId="0" applyNumberFormat="1" applyFont="1" applyFill="1" applyBorder="1" applyAlignment="1">
      <alignment horizontal="center" vertical="center" wrapText="1"/>
    </xf>
    <xf numFmtId="177" fontId="42" fillId="13" borderId="4" xfId="0" applyNumberFormat="1" applyFont="1" applyFill="1" applyBorder="1" applyAlignment="1">
      <alignment horizontal="center" vertical="center" textRotation="255"/>
    </xf>
    <xf numFmtId="177" fontId="42" fillId="13" borderId="2" xfId="0" applyNumberFormat="1" applyFont="1" applyFill="1" applyBorder="1" applyAlignment="1">
      <alignment horizontal="center" vertical="center" textRotation="255"/>
    </xf>
    <xf numFmtId="177" fontId="42" fillId="13" borderId="5" xfId="0" applyNumberFormat="1" applyFont="1" applyFill="1" applyBorder="1" applyAlignment="1">
      <alignment horizontal="center" vertical="center" textRotation="255"/>
    </xf>
    <xf numFmtId="177" fontId="42" fillId="8" borderId="4" xfId="0" applyNumberFormat="1" applyFont="1" applyFill="1" applyBorder="1" applyAlignment="1">
      <alignment horizontal="center" vertical="center" wrapText="1"/>
    </xf>
    <xf numFmtId="177" fontId="42" fillId="8" borderId="5" xfId="0" applyNumberFormat="1" applyFont="1" applyFill="1" applyBorder="1" applyAlignment="1">
      <alignment horizontal="center" vertical="center" wrapText="1"/>
    </xf>
    <xf numFmtId="177" fontId="42" fillId="8" borderId="6" xfId="0" applyNumberFormat="1" applyFont="1" applyFill="1" applyBorder="1" applyAlignment="1">
      <alignment horizontal="center" vertical="center"/>
    </xf>
    <xf numFmtId="177" fontId="42" fillId="8" borderId="8" xfId="0" applyNumberFormat="1" applyFont="1" applyFill="1" applyBorder="1" applyAlignment="1">
      <alignment horizontal="center" vertical="center"/>
    </xf>
    <xf numFmtId="177" fontId="42" fillId="8" borderId="7" xfId="0" applyNumberFormat="1" applyFont="1" applyFill="1" applyBorder="1" applyAlignment="1">
      <alignment horizontal="center" vertical="center"/>
    </xf>
    <xf numFmtId="177" fontId="42" fillId="9" borderId="4" xfId="0" applyNumberFormat="1" applyFont="1" applyFill="1" applyBorder="1" applyAlignment="1">
      <alignment horizontal="center" vertical="center" wrapText="1"/>
    </xf>
    <xf numFmtId="177" fontId="42" fillId="9" borderId="2" xfId="0" applyNumberFormat="1" applyFont="1" applyFill="1" applyBorder="1" applyAlignment="1">
      <alignment horizontal="center" vertical="center" wrapText="1"/>
    </xf>
    <xf numFmtId="177" fontId="42" fillId="9" borderId="5" xfId="0" applyNumberFormat="1" applyFont="1" applyFill="1" applyBorder="1" applyAlignment="1">
      <alignment horizontal="center" vertical="center" wrapText="1"/>
    </xf>
    <xf numFmtId="177" fontId="42" fillId="9" borderId="6" xfId="0" applyNumberFormat="1" applyFont="1" applyFill="1" applyBorder="1" applyAlignment="1">
      <alignment horizontal="center" vertical="center"/>
    </xf>
    <xf numFmtId="177" fontId="42" fillId="9" borderId="8" xfId="0" applyNumberFormat="1" applyFont="1" applyFill="1" applyBorder="1" applyAlignment="1">
      <alignment horizontal="center" vertical="center"/>
    </xf>
    <xf numFmtId="177" fontId="42" fillId="9" borderId="7" xfId="0" applyNumberFormat="1" applyFont="1" applyFill="1" applyBorder="1" applyAlignment="1">
      <alignment horizontal="center" vertical="center"/>
    </xf>
    <xf numFmtId="177" fontId="42" fillId="10" borderId="6" xfId="0" applyNumberFormat="1" applyFont="1" applyFill="1" applyBorder="1" applyAlignment="1">
      <alignment horizontal="center" vertical="center"/>
    </xf>
    <xf numFmtId="177" fontId="42" fillId="10" borderId="8" xfId="0" applyNumberFormat="1" applyFont="1" applyFill="1" applyBorder="1" applyAlignment="1">
      <alignment horizontal="center" vertical="center"/>
    </xf>
    <xf numFmtId="177" fontId="42" fillId="10" borderId="7" xfId="0" applyNumberFormat="1" applyFont="1" applyFill="1" applyBorder="1" applyAlignment="1">
      <alignment horizontal="center" vertical="center"/>
    </xf>
    <xf numFmtId="177" fontId="42" fillId="11" borderId="4" xfId="0" applyNumberFormat="1" applyFont="1" applyFill="1" applyBorder="1" applyAlignment="1">
      <alignment horizontal="center" vertical="center" wrapText="1"/>
    </xf>
    <xf numFmtId="177" fontId="42" fillId="11" borderId="5" xfId="0" applyNumberFormat="1" applyFont="1" applyFill="1" applyBorder="1" applyAlignment="1">
      <alignment horizontal="center" vertical="center" wrapText="1"/>
    </xf>
    <xf numFmtId="177" fontId="42" fillId="11" borderId="6" xfId="0" applyNumberFormat="1" applyFont="1" applyFill="1" applyBorder="1" applyAlignment="1">
      <alignment horizontal="center" vertical="center"/>
    </xf>
    <xf numFmtId="177" fontId="42" fillId="11" borderId="8" xfId="0" applyNumberFormat="1" applyFont="1" applyFill="1" applyBorder="1" applyAlignment="1">
      <alignment horizontal="center" vertical="center"/>
    </xf>
    <xf numFmtId="177" fontId="42" fillId="11" borderId="7" xfId="0" applyNumberFormat="1" applyFont="1" applyFill="1" applyBorder="1" applyAlignment="1">
      <alignment horizontal="center" vertical="center"/>
    </xf>
    <xf numFmtId="177" fontId="42" fillId="15" borderId="4" xfId="0" applyNumberFormat="1" applyFont="1" applyFill="1" applyBorder="1" applyAlignment="1">
      <alignment horizontal="center" vertical="center" wrapText="1"/>
    </xf>
    <xf numFmtId="177" fontId="42" fillId="15" borderId="2" xfId="0" applyNumberFormat="1" applyFont="1" applyFill="1" applyBorder="1" applyAlignment="1">
      <alignment horizontal="center" vertical="center" wrapText="1"/>
    </xf>
    <xf numFmtId="177" fontId="42" fillId="15" borderId="5" xfId="0" applyNumberFormat="1" applyFont="1" applyFill="1" applyBorder="1" applyAlignment="1">
      <alignment horizontal="center" vertical="center" wrapText="1"/>
    </xf>
    <xf numFmtId="177" fontId="42" fillId="15" borderId="6" xfId="0" applyNumberFormat="1" applyFont="1" applyFill="1" applyBorder="1" applyAlignment="1">
      <alignment horizontal="center" vertical="center"/>
    </xf>
    <xf numFmtId="177" fontId="42" fillId="15" borderId="8" xfId="0" applyNumberFormat="1" applyFont="1" applyFill="1" applyBorder="1" applyAlignment="1">
      <alignment horizontal="center" vertical="center"/>
    </xf>
    <xf numFmtId="177" fontId="42" fillId="15" borderId="7" xfId="0" applyNumberFormat="1" applyFont="1" applyFill="1" applyBorder="1" applyAlignment="1">
      <alignment horizontal="center" vertical="center"/>
    </xf>
    <xf numFmtId="177" fontId="42" fillId="14" borderId="6" xfId="0" applyNumberFormat="1" applyFont="1" applyFill="1" applyBorder="1" applyAlignment="1">
      <alignment horizontal="center" vertical="center"/>
    </xf>
    <xf numFmtId="177" fontId="42" fillId="14" borderId="8" xfId="0" applyNumberFormat="1" applyFont="1" applyFill="1" applyBorder="1" applyAlignment="1">
      <alignment horizontal="center" vertical="center"/>
    </xf>
    <xf numFmtId="177" fontId="42" fillId="14" borderId="7" xfId="0" applyNumberFormat="1" applyFont="1" applyFill="1" applyBorder="1" applyAlignment="1">
      <alignment horizontal="center" vertical="center"/>
    </xf>
    <xf numFmtId="0" fontId="42" fillId="18" borderId="31" xfId="0" applyFont="1" applyFill="1" applyBorder="1" applyAlignment="1">
      <alignment horizontal="center" vertical="center" wrapText="1"/>
    </xf>
    <xf numFmtId="0" fontId="42" fillId="18" borderId="32" xfId="0" applyFont="1" applyFill="1" applyBorder="1" applyAlignment="1">
      <alignment horizontal="center" vertical="center" wrapText="1"/>
    </xf>
    <xf numFmtId="0" fontId="42" fillId="18" borderId="33" xfId="0" applyFont="1" applyFill="1" applyBorder="1" applyAlignment="1">
      <alignment horizontal="center" vertical="center" wrapText="1"/>
    </xf>
    <xf numFmtId="0" fontId="42" fillId="18" borderId="6" xfId="0" applyFont="1" applyFill="1" applyBorder="1" applyAlignment="1">
      <alignment horizontal="center" vertical="center"/>
    </xf>
    <xf numFmtId="0" fontId="42" fillId="18" borderId="8" xfId="0" applyFont="1" applyFill="1" applyBorder="1" applyAlignment="1">
      <alignment horizontal="center" vertical="center"/>
    </xf>
    <xf numFmtId="0" fontId="42" fillId="18" borderId="7" xfId="0" applyFont="1" applyFill="1" applyBorder="1" applyAlignment="1">
      <alignment horizontal="center" vertical="center"/>
    </xf>
    <xf numFmtId="177" fontId="42" fillId="14" borderId="31" xfId="0" applyNumberFormat="1" applyFont="1" applyFill="1" applyBorder="1" applyAlignment="1">
      <alignment horizontal="center" vertical="center" wrapText="1"/>
    </xf>
    <xf numFmtId="177" fontId="42" fillId="14" borderId="32" xfId="0" applyNumberFormat="1" applyFont="1" applyFill="1" applyBorder="1" applyAlignment="1">
      <alignment horizontal="center" vertical="center" wrapText="1"/>
    </xf>
    <xf numFmtId="177" fontId="42" fillId="14" borderId="33" xfId="0" applyNumberFormat="1" applyFont="1" applyFill="1" applyBorder="1" applyAlignment="1">
      <alignment horizontal="center" vertical="center" wrapText="1"/>
    </xf>
    <xf numFmtId="0" fontId="25" fillId="0" borderId="0" xfId="2" applyFont="1" applyAlignment="1">
      <alignment horizontal="left" vertical="center"/>
    </xf>
    <xf numFmtId="179" fontId="25" fillId="0" borderId="50" xfId="2" applyNumberFormat="1" applyFont="1" applyBorder="1" applyAlignment="1">
      <alignment horizontal="center" vertical="center"/>
    </xf>
    <xf numFmtId="179" fontId="25" fillId="0" borderId="51" xfId="2" applyNumberFormat="1" applyFont="1" applyBorder="1" applyAlignment="1">
      <alignment horizontal="center" vertical="center"/>
    </xf>
    <xf numFmtId="179" fontId="25" fillId="0" borderId="52" xfId="2" applyNumberFormat="1" applyFont="1" applyBorder="1" applyAlignment="1">
      <alignment horizontal="center" vertical="center"/>
    </xf>
    <xf numFmtId="179" fontId="25" fillId="0" borderId="53" xfId="2" applyNumberFormat="1" applyFont="1" applyBorder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24" fillId="6" borderId="0" xfId="2" applyFont="1" applyFill="1" applyAlignment="1">
      <alignment horizontal="center" vertical="center"/>
    </xf>
    <xf numFmtId="0" fontId="23" fillId="0" borderId="0" xfId="2" applyFont="1" applyAlignment="1">
      <alignment horizontal="left" vertical="center"/>
    </xf>
    <xf numFmtId="0" fontId="25" fillId="0" borderId="0" xfId="2" applyFont="1" applyAlignment="1">
      <alignment horizontal="center" vertical="center"/>
    </xf>
    <xf numFmtId="0" fontId="25" fillId="11" borderId="49" xfId="2" applyFont="1" applyFill="1" applyBorder="1" applyAlignment="1">
      <alignment horizontal="center" vertical="center"/>
    </xf>
    <xf numFmtId="0" fontId="25" fillId="11" borderId="44" xfId="2" applyFont="1" applyFill="1" applyBorder="1" applyAlignment="1">
      <alignment horizontal="center" vertical="center"/>
    </xf>
    <xf numFmtId="0" fontId="24" fillId="9" borderId="0" xfId="2" applyFont="1" applyFill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56" fillId="25" borderId="0" xfId="4" applyFont="1" applyFill="1" applyAlignment="1">
      <alignment horizontal="center" vertical="center"/>
    </xf>
    <xf numFmtId="0" fontId="52" fillId="0" borderId="0" xfId="4" applyFont="1" applyAlignment="1">
      <alignment horizontal="center" vertical="center"/>
    </xf>
    <xf numFmtId="0" fontId="52" fillId="0" borderId="0" xfId="4" applyFont="1" applyAlignment="1">
      <alignment horizontal="center" vertical="center" wrapText="1"/>
    </xf>
    <xf numFmtId="0" fontId="64" fillId="0" borderId="0" xfId="4" applyFont="1" applyAlignment="1">
      <alignment horizontal="center" vertical="center"/>
    </xf>
    <xf numFmtId="0" fontId="55" fillId="24" borderId="0" xfId="4" applyFont="1" applyFill="1" applyAlignment="1">
      <alignment horizontal="center" vertical="center"/>
    </xf>
    <xf numFmtId="0" fontId="56" fillId="11" borderId="0" xfId="4" applyFont="1" applyFill="1" applyAlignment="1">
      <alignment horizontal="center" vertical="center"/>
    </xf>
    <xf numFmtId="0" fontId="63" fillId="0" borderId="0" xfId="4" applyFont="1" applyAlignment="1">
      <alignment horizontal="center" vertical="center"/>
    </xf>
    <xf numFmtId="0" fontId="1" fillId="0" borderId="0" xfId="4" applyAlignment="1">
      <alignment horizontal="center" vertical="center"/>
    </xf>
    <xf numFmtId="0" fontId="58" fillId="0" borderId="0" xfId="4" applyFont="1" applyAlignment="1">
      <alignment horizontal="center" vertical="center"/>
    </xf>
    <xf numFmtId="0" fontId="65" fillId="0" borderId="0" xfId="4" applyFont="1" applyAlignment="1">
      <alignment horizontal="center" vertical="center" wrapText="1"/>
    </xf>
    <xf numFmtId="0" fontId="61" fillId="14" borderId="0" xfId="4" quotePrefix="1" applyFont="1" applyFill="1" applyAlignment="1">
      <alignment horizontal="center" vertical="center" wrapText="1"/>
    </xf>
    <xf numFmtId="0" fontId="66" fillId="0" borderId="0" xfId="4" applyFont="1" applyAlignment="1">
      <alignment horizontal="left" vertical="center"/>
    </xf>
    <xf numFmtId="0" fontId="60" fillId="0" borderId="0" xfId="4" applyFont="1" applyAlignment="1">
      <alignment horizontal="left" vertical="center"/>
    </xf>
    <xf numFmtId="0" fontId="61" fillId="26" borderId="0" xfId="4" applyFont="1" applyFill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6" fillId="19" borderId="12" xfId="0" applyFont="1" applyFill="1" applyBorder="1" applyAlignment="1">
      <alignment horizontal="center" vertical="center"/>
    </xf>
    <xf numFmtId="0" fontId="16" fillId="19" borderId="11" xfId="0" applyFont="1" applyFill="1" applyBorder="1" applyAlignment="1">
      <alignment horizontal="center" vertical="center"/>
    </xf>
    <xf numFmtId="0" fontId="16" fillId="16" borderId="29" xfId="0" applyFont="1" applyFill="1" applyBorder="1" applyAlignment="1">
      <alignment horizontal="center" vertical="center"/>
    </xf>
    <xf numFmtId="0" fontId="16" fillId="16" borderId="14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 vertical="center"/>
    </xf>
    <xf numFmtId="0" fontId="16" fillId="19" borderId="10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16" borderId="12" xfId="0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0" fontId="16" fillId="11" borderId="14" xfId="0" applyFont="1" applyFill="1" applyBorder="1" applyAlignment="1">
      <alignment horizontal="center" vertical="center"/>
    </xf>
    <xf numFmtId="0" fontId="16" fillId="11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6" borderId="25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26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5">
    <cellStyle name="표준" xfId="0" builtinId="0"/>
    <cellStyle name="표준 2" xfId="1" xr:uid="{E24B4CD3-55B2-4D80-BD77-B905EE188C90}"/>
    <cellStyle name="표준 2 2" xfId="2" xr:uid="{C9D90860-DB27-4E44-B42E-72E3FEF70A58}"/>
    <cellStyle name="표준 3" xfId="3" xr:uid="{AA18D07C-14D0-41CC-BB23-09FF6EAAA55D}"/>
    <cellStyle name="표준 4" xfId="4" xr:uid="{C876849D-C54D-4351-96E5-BD039899AD3A}"/>
  </cellStyles>
  <dxfs count="187"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FF0000"/>
      </font>
    </dxf>
    <dxf>
      <font>
        <color rgb="FF0070C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 patternType="solid"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colors>
    <mruColors>
      <color rgb="FF4BEA36"/>
      <color rgb="FF24FC3E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microsoft.com/office/2017/10/relationships/person" Target="persons/person3.xml"/><Relationship Id="rId26" Type="http://schemas.microsoft.com/office/2017/10/relationships/person" Target="persons/person11.xml"/><Relationship Id="rId3" Type="http://schemas.openxmlformats.org/officeDocument/2006/relationships/worksheet" Target="worksheets/sheet3.xml"/><Relationship Id="rId21" Type="http://schemas.microsoft.com/office/2017/10/relationships/person" Target="persons/person6.xml"/><Relationship Id="rId34" Type="http://schemas.microsoft.com/office/2017/10/relationships/person" Target="persons/person19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10/relationships/person" Target="persons/person2.xml"/><Relationship Id="rId25" Type="http://schemas.microsoft.com/office/2017/10/relationships/person" Target="persons/person10.xml"/><Relationship Id="rId33" Type="http://schemas.microsoft.com/office/2017/10/relationships/person" Target="persons/person18.xml"/><Relationship Id="rId2" Type="http://schemas.openxmlformats.org/officeDocument/2006/relationships/worksheet" Target="worksheets/sheet2.xml"/><Relationship Id="rId16" Type="http://schemas.microsoft.com/office/2017/10/relationships/person" Target="persons/person1.xml"/><Relationship Id="rId20" Type="http://schemas.microsoft.com/office/2017/10/relationships/person" Target="persons/person5.xml"/><Relationship Id="rId29" Type="http://schemas.microsoft.com/office/2017/10/relationships/person" Target="persons/person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microsoft.com/office/2017/10/relationships/person" Target="persons/person9.xml"/><Relationship Id="rId32" Type="http://schemas.microsoft.com/office/2017/10/relationships/person" Target="persons/person17.xml"/><Relationship Id="rId5" Type="http://schemas.openxmlformats.org/officeDocument/2006/relationships/worksheet" Target="worksheets/sheet5.xml"/><Relationship Id="rId15" Type="http://schemas.microsoft.com/office/2017/10/relationships/person" Target="persons/person0.xml"/><Relationship Id="rId23" Type="http://schemas.microsoft.com/office/2017/10/relationships/person" Target="persons/person8.xml"/><Relationship Id="rId28" Type="http://schemas.microsoft.com/office/2017/10/relationships/person" Target="persons/person13.xml"/><Relationship Id="rId10" Type="http://schemas.openxmlformats.org/officeDocument/2006/relationships/theme" Target="theme/theme1.xml"/><Relationship Id="rId19" Type="http://schemas.microsoft.com/office/2017/10/relationships/person" Target="persons/person7.xml"/><Relationship Id="rId31" Type="http://schemas.microsoft.com/office/2017/10/relationships/person" Target="persons/person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35" Type="http://schemas.microsoft.com/office/2017/10/relationships/person" Target="persons/person.xml"/><Relationship Id="rId27" Type="http://schemas.microsoft.com/office/2017/10/relationships/person" Target="persons/person20.xml"/><Relationship Id="rId30" Type="http://schemas.microsoft.com/office/2017/10/relationships/person" Target="persons/person16.xml"/><Relationship Id="rId22" Type="http://schemas.microsoft.com/office/2017/10/relationships/person" Target="persons/person12.xml"/><Relationship Id="rId14" Type="http://schemas.microsoft.com/office/2017/10/relationships/person" Target="persons/person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1537855</xdr:colOff>
      <xdr:row>19</xdr:row>
      <xdr:rowOff>53687</xdr:rowOff>
    </xdr:from>
    <xdr:to>
      <xdr:col>10</xdr:col>
      <xdr:colOff>1280680</xdr:colOff>
      <xdr:row>21</xdr:row>
      <xdr:rowOff>863312</xdr:rowOff>
    </xdr:to>
    <xdr:grpSp>
      <xdr:nvGrpSpPr>
        <xdr:cNvPr id="1289" name="그룹 6">
          <a:extLst>
            <a:ext uri="{FF2B5EF4-FFF2-40B4-BE49-F238E27FC236}">
              <a16:creationId xmlns:a16="http://schemas.microsoft.com/office/drawing/2014/main" id="{D21CB39C-213B-32FA-A0B2-171A3553ECC9}"/>
            </a:ext>
          </a:extLst>
        </xdr:cNvPr>
        <xdr:cNvGrpSpPr>
          <a:grpSpLocks/>
        </xdr:cNvGrpSpPr>
      </xdr:nvGrpSpPr>
      <xdr:grpSpPr bwMode="auto">
        <a:xfrm>
          <a:off x="5347855" y="6929005"/>
          <a:ext cx="9770052" cy="2576080"/>
          <a:chOff x="6147954" y="5351548"/>
          <a:chExt cx="9611591" cy="2580179"/>
        </a:xfrm>
      </xdr:grpSpPr>
      <xdr:pic>
        <xdr:nvPicPr>
          <xdr:cNvPr id="1290" name="그림 1">
            <a:extLst>
              <a:ext uri="{FF2B5EF4-FFF2-40B4-BE49-F238E27FC236}">
                <a16:creationId xmlns:a16="http://schemas.microsoft.com/office/drawing/2014/main" id="{C8A931B0-4149-76B2-F286-AB5F250E776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47954" y="5351548"/>
            <a:ext cx="2669441" cy="25801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91" name="그림 2">
            <a:extLst>
              <a:ext uri="{FF2B5EF4-FFF2-40B4-BE49-F238E27FC236}">
                <a16:creationId xmlns:a16="http://schemas.microsoft.com/office/drawing/2014/main" id="{A5AB91C3-1EBC-9A52-25F2-6446B9C1D7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473045" y="5368636"/>
            <a:ext cx="2753590" cy="24816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92" name="그림 3">
            <a:extLst>
              <a:ext uri="{FF2B5EF4-FFF2-40B4-BE49-F238E27FC236}">
                <a16:creationId xmlns:a16="http://schemas.microsoft.com/office/drawing/2014/main" id="{C3848801-06F7-C3A7-CFAB-98D6AE83D2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36680" y="5368635"/>
            <a:ext cx="2822865" cy="25282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567171</xdr:colOff>
      <xdr:row>18</xdr:row>
      <xdr:rowOff>53687</xdr:rowOff>
    </xdr:from>
    <xdr:to>
      <xdr:col>12</xdr:col>
      <xdr:colOff>1412298</xdr:colOff>
      <xdr:row>20</xdr:row>
      <xdr:rowOff>863312</xdr:rowOff>
    </xdr:to>
    <xdr:grpSp>
      <xdr:nvGrpSpPr>
        <xdr:cNvPr id="3280" name="그룹 6">
          <a:extLst>
            <a:ext uri="{FF2B5EF4-FFF2-40B4-BE49-F238E27FC236}">
              <a16:creationId xmlns:a16="http://schemas.microsoft.com/office/drawing/2014/main" id="{5B9EB08E-D0E7-1BA3-DA4F-9130EB92E6C3}"/>
            </a:ext>
          </a:extLst>
        </xdr:cNvPr>
        <xdr:cNvGrpSpPr>
          <a:grpSpLocks/>
        </xdr:cNvGrpSpPr>
      </xdr:nvGrpSpPr>
      <xdr:grpSpPr bwMode="auto">
        <a:xfrm>
          <a:off x="3234171" y="6963642"/>
          <a:ext cx="13591309" cy="2576079"/>
          <a:chOff x="6147954" y="5351548"/>
          <a:chExt cx="9611591" cy="2580179"/>
        </a:xfrm>
      </xdr:grpSpPr>
      <xdr:pic>
        <xdr:nvPicPr>
          <xdr:cNvPr id="3281" name="그림 1">
            <a:extLst>
              <a:ext uri="{FF2B5EF4-FFF2-40B4-BE49-F238E27FC236}">
                <a16:creationId xmlns:a16="http://schemas.microsoft.com/office/drawing/2014/main" id="{9B594D26-0CAC-8E73-F575-AF2AAD85535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47954" y="5351548"/>
            <a:ext cx="2669441" cy="25801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282" name="그림 2">
            <a:extLst>
              <a:ext uri="{FF2B5EF4-FFF2-40B4-BE49-F238E27FC236}">
                <a16:creationId xmlns:a16="http://schemas.microsoft.com/office/drawing/2014/main" id="{3385810D-73E7-C31A-72C3-93AA9CAA68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473045" y="5368636"/>
            <a:ext cx="2753590" cy="24816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283" name="그림 3">
            <a:extLst>
              <a:ext uri="{FF2B5EF4-FFF2-40B4-BE49-F238E27FC236}">
                <a16:creationId xmlns:a16="http://schemas.microsoft.com/office/drawing/2014/main" id="{AC683CB9-879F-44FD-663B-00A71F42ED9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36680" y="5368635"/>
            <a:ext cx="2822865" cy="25282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6</xdr:row>
      <xdr:rowOff>38100</xdr:rowOff>
    </xdr:from>
    <xdr:ext cx="1335156" cy="785192"/>
    <xdr:pic>
      <xdr:nvPicPr>
        <xdr:cNvPr id="2" name="그림 1">
          <a:extLst>
            <a:ext uri="{FF2B5EF4-FFF2-40B4-BE49-F238E27FC236}">
              <a16:creationId xmlns:a16="http://schemas.microsoft.com/office/drawing/2014/main" id="{4A8F8700-3FF3-46D8-A331-5302A2A5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295400"/>
          <a:ext cx="1335156" cy="78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6</xdr:row>
      <xdr:rowOff>38100</xdr:rowOff>
    </xdr:from>
    <xdr:ext cx="1335156" cy="785192"/>
    <xdr:pic>
      <xdr:nvPicPr>
        <xdr:cNvPr id="2" name="그림 1">
          <a:extLst>
            <a:ext uri="{FF2B5EF4-FFF2-40B4-BE49-F238E27FC236}">
              <a16:creationId xmlns:a16="http://schemas.microsoft.com/office/drawing/2014/main" id="{5E75C240-993C-4600-AD33-AAACE6E8F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295400"/>
          <a:ext cx="1335156" cy="78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161926</xdr:colOff>
      <xdr:row>4</xdr:row>
      <xdr:rowOff>200025</xdr:rowOff>
    </xdr:from>
    <xdr:to>
      <xdr:col>10</xdr:col>
      <xdr:colOff>28575</xdr:colOff>
      <xdr:row>9</xdr:row>
      <xdr:rowOff>133350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7D27945-B416-43A2-AD68-158117E90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1724025"/>
          <a:ext cx="8334374" cy="14573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9"/>
  <sheetViews>
    <sheetView showGridLines="0" tabSelected="1" view="pageBreakPreview" zoomScale="55" zoomScaleNormal="55" zoomScaleSheetLayoutView="55" zoomScalePageLayoutView="40" workbookViewId="0">
      <pane xSplit="5" ySplit="7" topLeftCell="F8" activePane="bottomRight" state="frozen"/>
      <selection activeCell="C2" sqref="C2:D2"/>
      <selection pane="topRight" activeCell="C2" sqref="C2:D2"/>
      <selection pane="bottomLeft" activeCell="C2" sqref="C2:D2"/>
      <selection pane="bottomRight" sqref="A1:L1"/>
    </sheetView>
  </sheetViews>
  <sheetFormatPr defaultColWidth="8.75" defaultRowHeight="26.25"/>
  <cols>
    <col min="1" max="1" width="12.625" style="1" customWidth="1"/>
    <col min="2" max="2" width="8.625" style="1" customWidth="1"/>
    <col min="3" max="3" width="12.5" style="1" customWidth="1"/>
    <col min="4" max="4" width="16.125" style="1" customWidth="1"/>
    <col min="5" max="5" width="29.625" style="1" customWidth="1"/>
    <col min="6" max="6" width="3" style="1" customWidth="1"/>
    <col min="7" max="16" width="24.875" style="1" customWidth="1"/>
    <col min="17" max="20" width="8.75" style="1"/>
    <col min="21" max="21" width="9.875" style="1" bestFit="1" customWidth="1"/>
    <col min="22" max="16384" width="8.75" style="1"/>
  </cols>
  <sheetData>
    <row r="1" spans="1:19" ht="99.95" customHeight="1">
      <c r="A1" s="444" t="s">
        <v>193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133"/>
      <c r="N1" s="133"/>
      <c r="O1" s="133"/>
      <c r="P1" s="133"/>
    </row>
    <row r="2" spans="1:19">
      <c r="A2" s="55"/>
      <c r="B2" s="55"/>
      <c r="C2" s="120"/>
      <c r="D2" s="120"/>
      <c r="E2" s="55"/>
      <c r="F2" s="121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9">
      <c r="A3" s="214" t="s">
        <v>174</v>
      </c>
      <c r="B3" s="214"/>
      <c r="C3" s="215" t="str">
        <f ca="1">"보험나이 "&amp;DATEDIF(EDATE($A$4,-6),$F$6,"y")&amp;"세"</f>
        <v>보험나이 35세</v>
      </c>
      <c r="D3" s="216"/>
      <c r="E3" s="55"/>
      <c r="F3" s="121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9">
      <c r="A4" s="217">
        <v>33302</v>
      </c>
      <c r="B4" s="217"/>
      <c r="C4" s="218">
        <f>EDATE($A$4,6)</f>
        <v>33486</v>
      </c>
      <c r="D4" s="219"/>
      <c r="E4" s="122"/>
      <c r="F4" s="121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19" ht="27" thickBot="1">
      <c r="A5" s="120"/>
      <c r="B5" s="120"/>
      <c r="C5" s="122"/>
      <c r="D5" s="122"/>
      <c r="E5" s="122"/>
      <c r="F5" s="121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55"/>
      <c r="R5" s="55"/>
      <c r="S5" s="55"/>
    </row>
    <row r="6" spans="1:19" ht="44.25" customHeight="1" thickBot="1">
      <c r="A6" s="205" t="s">
        <v>0</v>
      </c>
      <c r="B6" s="205"/>
      <c r="C6" s="205" t="s">
        <v>1</v>
      </c>
      <c r="D6" s="205"/>
      <c r="E6" s="3" t="s">
        <v>3</v>
      </c>
      <c r="F6" s="124">
        <f ca="1">TODAY()</f>
        <v>46207</v>
      </c>
      <c r="G6" s="88"/>
      <c r="H6" s="88"/>
      <c r="I6" s="88"/>
      <c r="J6" s="88"/>
      <c r="K6" s="88"/>
      <c r="L6" s="16"/>
      <c r="M6" s="16"/>
      <c r="N6" s="16"/>
      <c r="O6" s="16"/>
      <c r="P6" s="16"/>
    </row>
    <row r="7" spans="1:19" ht="27" thickBot="1">
      <c r="A7" s="205"/>
      <c r="B7" s="205"/>
      <c r="C7" s="205" t="s">
        <v>2</v>
      </c>
      <c r="D7" s="205"/>
      <c r="E7" s="3"/>
      <c r="F7" s="5"/>
      <c r="G7" s="89"/>
      <c r="H7" s="89"/>
      <c r="I7" s="89"/>
      <c r="J7" s="89"/>
      <c r="K7" s="89"/>
      <c r="L7" s="17"/>
      <c r="M7" s="17"/>
      <c r="N7" s="17"/>
      <c r="O7" s="17"/>
      <c r="P7" s="17"/>
    </row>
    <row r="8" spans="1:19" ht="27" thickBot="1">
      <c r="A8" s="206" t="s">
        <v>73</v>
      </c>
      <c r="B8" s="207"/>
      <c r="C8" s="205" t="s">
        <v>4</v>
      </c>
      <c r="D8" s="205"/>
      <c r="E8" s="3"/>
      <c r="F8" s="5"/>
      <c r="G8" s="90"/>
      <c r="H8" s="90"/>
      <c r="I8" s="90"/>
      <c r="J8" s="90"/>
      <c r="K8" s="3"/>
      <c r="L8" s="3"/>
      <c r="M8" s="3"/>
      <c r="N8" s="3"/>
      <c r="O8" s="3"/>
      <c r="P8" s="3"/>
    </row>
    <row r="9" spans="1:19" ht="27" thickBot="1">
      <c r="A9" s="208"/>
      <c r="B9" s="209"/>
      <c r="C9" s="205" t="s">
        <v>5</v>
      </c>
      <c r="D9" s="205"/>
      <c r="E9" s="3"/>
      <c r="F9" s="5"/>
      <c r="G9" s="91"/>
      <c r="H9" s="91"/>
      <c r="I9" s="91"/>
      <c r="J9" s="91"/>
      <c r="K9" s="2"/>
      <c r="L9" s="2"/>
      <c r="M9" s="2"/>
      <c r="N9" s="2"/>
      <c r="O9" s="2"/>
      <c r="P9" s="2"/>
    </row>
    <row r="10" spans="1:19" ht="27" thickBot="1">
      <c r="A10" s="208"/>
      <c r="B10" s="209"/>
      <c r="C10" s="205" t="s">
        <v>6</v>
      </c>
      <c r="D10" s="205"/>
      <c r="E10" s="3"/>
      <c r="F10" s="5"/>
      <c r="G10" s="91"/>
      <c r="H10" s="91"/>
      <c r="I10" s="91"/>
      <c r="J10" s="91"/>
      <c r="K10" s="91"/>
      <c r="L10" s="2"/>
      <c r="M10" s="2"/>
      <c r="N10" s="2"/>
      <c r="O10" s="2"/>
      <c r="P10" s="2"/>
    </row>
    <row r="11" spans="1:19" ht="30.75" thickBot="1">
      <c r="A11" s="208"/>
      <c r="B11" s="209"/>
      <c r="C11" s="205" t="s">
        <v>7</v>
      </c>
      <c r="D11" s="205"/>
      <c r="E11" s="40">
        <f>SUM(G11:P11)</f>
        <v>0</v>
      </c>
      <c r="F11" s="5"/>
      <c r="G11" s="92"/>
      <c r="H11" s="92"/>
      <c r="I11" s="92"/>
      <c r="J11" s="92"/>
      <c r="K11" s="92"/>
      <c r="L11" s="92"/>
      <c r="M11" s="92"/>
      <c r="N11" s="92"/>
      <c r="O11" s="92"/>
      <c r="P11" s="92"/>
    </row>
    <row r="12" spans="1:19" s="9" customFormat="1" ht="30.75" hidden="1" thickBot="1">
      <c r="A12" s="208"/>
      <c r="B12" s="209"/>
      <c r="C12" s="205" t="s">
        <v>155</v>
      </c>
      <c r="D12" s="205"/>
      <c r="E12" s="40">
        <f t="shared" ref="E12" si="0">SUM(G12:P12)</f>
        <v>0</v>
      </c>
      <c r="F12" s="12"/>
      <c r="G12" s="92"/>
      <c r="H12" s="92"/>
      <c r="I12" s="92"/>
      <c r="J12" s="92"/>
      <c r="K12" s="92"/>
      <c r="L12" s="92"/>
      <c r="M12" s="92"/>
      <c r="N12" s="92"/>
      <c r="O12" s="92"/>
      <c r="P12" s="92"/>
    </row>
    <row r="13" spans="1:19" s="9" customFormat="1" ht="30.75" hidden="1" thickBot="1">
      <c r="A13" s="208"/>
      <c r="B13" s="209"/>
      <c r="C13" s="205" t="s">
        <v>123</v>
      </c>
      <c r="D13" s="205"/>
      <c r="E13" s="40">
        <f t="shared" ref="E13:E19" si="1">SUM(G13:P13)</f>
        <v>0</v>
      </c>
      <c r="F13" s="12"/>
      <c r="G13" s="92"/>
      <c r="H13" s="92"/>
      <c r="I13" s="92"/>
      <c r="J13" s="92"/>
      <c r="K13" s="92"/>
      <c r="L13" s="92"/>
      <c r="M13" s="92"/>
      <c r="N13" s="92"/>
      <c r="O13" s="92"/>
      <c r="P13" s="92"/>
    </row>
    <row r="14" spans="1:19" s="9" customFormat="1" ht="27" hidden="1" thickBot="1">
      <c r="A14" s="208"/>
      <c r="B14" s="209"/>
      <c r="C14" s="205" t="s">
        <v>150</v>
      </c>
      <c r="D14" s="205"/>
      <c r="E14" s="96">
        <f t="shared" ref="E14" si="2">SUM(G14:P14)</f>
        <v>0</v>
      </c>
      <c r="F14" s="12"/>
      <c r="G14" s="95"/>
      <c r="H14" s="95"/>
      <c r="I14" s="95"/>
      <c r="J14" s="95"/>
      <c r="K14" s="95"/>
      <c r="L14" s="95"/>
      <c r="M14" s="95"/>
      <c r="N14" s="95"/>
      <c r="O14" s="95"/>
      <c r="P14" s="95"/>
    </row>
    <row r="15" spans="1:19" s="9" customFormat="1" ht="27" hidden="1" thickBot="1">
      <c r="A15" s="210"/>
      <c r="B15" s="211"/>
      <c r="C15" s="205" t="s">
        <v>151</v>
      </c>
      <c r="D15" s="205"/>
      <c r="E15" s="96">
        <f t="shared" si="1"/>
        <v>0</v>
      </c>
      <c r="F15" s="12"/>
      <c r="G15" s="95"/>
      <c r="H15" s="95"/>
      <c r="I15" s="95"/>
      <c r="J15" s="95"/>
      <c r="K15" s="95"/>
      <c r="L15" s="95"/>
      <c r="M15" s="95"/>
      <c r="N15" s="95"/>
      <c r="O15" s="95"/>
      <c r="P15" s="95"/>
    </row>
    <row r="16" spans="1:19" ht="38.450000000000003" customHeight="1" thickBot="1">
      <c r="A16" s="176" t="s">
        <v>17</v>
      </c>
      <c r="B16" s="176"/>
      <c r="C16" s="176" t="s">
        <v>18</v>
      </c>
      <c r="D16" s="176"/>
      <c r="E16" s="4">
        <f t="shared" si="1"/>
        <v>0</v>
      </c>
      <c r="F16" s="7"/>
      <c r="G16" s="91"/>
      <c r="H16" s="91"/>
      <c r="I16" s="91"/>
      <c r="J16" s="91"/>
      <c r="K16" s="91"/>
      <c r="L16" s="2"/>
      <c r="M16" s="2"/>
      <c r="N16" s="2"/>
      <c r="O16" s="2"/>
      <c r="P16" s="2"/>
    </row>
    <row r="17" spans="1:16" ht="38.450000000000003" customHeight="1" thickBot="1">
      <c r="A17" s="176"/>
      <c r="B17" s="176"/>
      <c r="C17" s="176" t="s">
        <v>19</v>
      </c>
      <c r="D17" s="176"/>
      <c r="E17" s="4">
        <f t="shared" si="1"/>
        <v>0</v>
      </c>
      <c r="F17" s="8"/>
      <c r="G17" s="91"/>
      <c r="H17" s="91"/>
      <c r="I17" s="91"/>
      <c r="J17" s="91"/>
      <c r="K17" s="91"/>
      <c r="L17" s="2"/>
      <c r="M17" s="2"/>
      <c r="N17" s="2"/>
      <c r="O17" s="2"/>
      <c r="P17" s="2"/>
    </row>
    <row r="18" spans="1:16" ht="38.450000000000003" customHeight="1" thickBot="1">
      <c r="A18" s="176"/>
      <c r="B18" s="176"/>
      <c r="C18" s="176" t="s">
        <v>20</v>
      </c>
      <c r="D18" s="176"/>
      <c r="E18" s="4">
        <f t="shared" si="1"/>
        <v>0</v>
      </c>
      <c r="F18" s="6"/>
      <c r="G18" s="91"/>
      <c r="H18" s="91"/>
      <c r="I18" s="91"/>
      <c r="J18" s="91"/>
      <c r="K18" s="91"/>
      <c r="L18" s="2"/>
      <c r="M18" s="2"/>
      <c r="N18" s="2"/>
      <c r="O18" s="2"/>
      <c r="P18" s="2"/>
    </row>
    <row r="19" spans="1:16" ht="38.450000000000003" customHeight="1" thickBot="1">
      <c r="A19" s="176"/>
      <c r="B19" s="176"/>
      <c r="C19" s="176" t="s">
        <v>21</v>
      </c>
      <c r="D19" s="176"/>
      <c r="E19" s="4">
        <f t="shared" si="1"/>
        <v>0</v>
      </c>
      <c r="F19" s="6"/>
      <c r="G19" s="91"/>
      <c r="H19" s="91"/>
      <c r="I19" s="91"/>
      <c r="J19" s="91"/>
      <c r="K19" s="91"/>
      <c r="L19" s="2"/>
      <c r="M19" s="2"/>
      <c r="N19" s="2"/>
      <c r="O19" s="2"/>
      <c r="P19" s="2"/>
    </row>
    <row r="20" spans="1:16" ht="69.75" customHeight="1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</row>
    <row r="21" spans="1:16" ht="69.75" customHeight="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</row>
    <row r="22" spans="1:16" ht="69.75" customHeight="1" thickBot="1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</row>
    <row r="23" spans="1:16" ht="38.450000000000003" customHeight="1" thickBot="1">
      <c r="A23" s="231" t="s">
        <v>35</v>
      </c>
      <c r="B23" s="177" t="s">
        <v>22</v>
      </c>
      <c r="C23" s="149" t="s">
        <v>27</v>
      </c>
      <c r="D23" s="149"/>
      <c r="E23" s="129">
        <f>E24+E25+E26+E27+SUM(G23:P23)</f>
        <v>0</v>
      </c>
      <c r="F23" s="148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38.450000000000003" customHeight="1" thickBot="1">
      <c r="A24" s="232"/>
      <c r="B24" s="178"/>
      <c r="C24" s="187" t="s">
        <v>28</v>
      </c>
      <c r="D24" s="188"/>
      <c r="E24" s="129">
        <f t="shared" ref="E24:E41" si="3">SUM(G24:P24)</f>
        <v>0</v>
      </c>
      <c r="F24" s="148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38.450000000000003" hidden="1" customHeight="1" thickBot="1">
      <c r="A25" s="232"/>
      <c r="B25" s="178"/>
      <c r="C25" s="182" t="s">
        <v>78</v>
      </c>
      <c r="D25" s="183"/>
      <c r="E25" s="129">
        <f t="shared" ref="E25" si="4">SUM(G25:P25)</f>
        <v>0</v>
      </c>
      <c r="F25" s="148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38.450000000000003" hidden="1" customHeight="1" thickBot="1">
      <c r="A26" s="232"/>
      <c r="B26" s="178"/>
      <c r="C26" s="150" t="s">
        <v>76</v>
      </c>
      <c r="D26" s="149"/>
      <c r="E26" s="129">
        <f t="shared" ref="E26:E27" si="5">SUM(G26:P26)</f>
        <v>0</v>
      </c>
      <c r="F26" s="148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38.450000000000003" hidden="1" customHeight="1" thickBot="1">
      <c r="A27" s="232"/>
      <c r="B27" s="178"/>
      <c r="C27" s="150" t="s">
        <v>114</v>
      </c>
      <c r="D27" s="149"/>
      <c r="E27" s="129">
        <f t="shared" si="5"/>
        <v>0</v>
      </c>
      <c r="F27" s="148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38.450000000000003" hidden="1" customHeight="1" thickBot="1">
      <c r="A28" s="232"/>
      <c r="B28" s="178"/>
      <c r="C28" s="150" t="s">
        <v>77</v>
      </c>
      <c r="D28" s="149"/>
      <c r="E28" s="129">
        <f t="shared" ref="E28" si="6">SUM(G28:P28)</f>
        <v>0</v>
      </c>
      <c r="F28" s="148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38.450000000000003" customHeight="1" thickBot="1">
      <c r="A29" s="232"/>
      <c r="B29" s="178"/>
      <c r="C29" s="150" t="s">
        <v>29</v>
      </c>
      <c r="D29" s="149"/>
      <c r="E29" s="129">
        <f t="shared" si="3"/>
        <v>0</v>
      </c>
      <c r="F29" s="148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38.450000000000003" customHeight="1" thickBot="1">
      <c r="A30" s="232"/>
      <c r="B30" s="178"/>
      <c r="C30" s="151" t="s">
        <v>13</v>
      </c>
      <c r="D30" s="151"/>
      <c r="E30" s="129">
        <f>SUM(G30:P30)</f>
        <v>0</v>
      </c>
      <c r="F30" s="148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38.450000000000003" customHeight="1" thickBot="1">
      <c r="A31" s="232"/>
      <c r="B31" s="178"/>
      <c r="C31" s="212" t="s">
        <v>192</v>
      </c>
      <c r="D31" s="213"/>
      <c r="E31" s="129">
        <f t="shared" si="3"/>
        <v>0</v>
      </c>
      <c r="F31" s="148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38.450000000000003" customHeight="1" thickBot="1">
      <c r="A32" s="232"/>
      <c r="B32" s="178"/>
      <c r="C32" s="180" t="s">
        <v>190</v>
      </c>
      <c r="D32" s="181"/>
      <c r="E32" s="129">
        <f t="shared" si="3"/>
        <v>0</v>
      </c>
      <c r="F32" s="148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38.450000000000003" customHeight="1" thickBot="1">
      <c r="A33" s="232"/>
      <c r="B33" s="179"/>
      <c r="C33" s="234" t="s">
        <v>30</v>
      </c>
      <c r="D33" s="151"/>
      <c r="E33" s="129">
        <f t="shared" si="3"/>
        <v>0</v>
      </c>
      <c r="F33" s="148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38.450000000000003" customHeight="1" thickBot="1">
      <c r="A34" s="232"/>
      <c r="B34" s="177" t="s">
        <v>23</v>
      </c>
      <c r="C34" s="149" t="s">
        <v>24</v>
      </c>
      <c r="D34" s="149"/>
      <c r="E34" s="129">
        <f t="shared" si="3"/>
        <v>0</v>
      </c>
      <c r="F34" s="148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38.450000000000003" customHeight="1" thickBot="1">
      <c r="A35" s="232"/>
      <c r="B35" s="178"/>
      <c r="C35" s="149" t="s">
        <v>25</v>
      </c>
      <c r="D35" s="149"/>
      <c r="E35" s="129">
        <f t="shared" si="3"/>
        <v>0</v>
      </c>
      <c r="F35" s="148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38.450000000000003" customHeight="1" thickBot="1">
      <c r="A36" s="232"/>
      <c r="B36" s="178"/>
      <c r="C36" s="187" t="s">
        <v>26</v>
      </c>
      <c r="D36" s="188"/>
      <c r="E36" s="129">
        <f>E35+SUM(G36:P36)</f>
        <v>0</v>
      </c>
      <c r="F36" s="148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38.450000000000003" hidden="1" customHeight="1" thickBot="1">
      <c r="A37" s="232"/>
      <c r="B37" s="178"/>
      <c r="C37" s="187" t="s">
        <v>115</v>
      </c>
      <c r="D37" s="188"/>
      <c r="E37" s="129">
        <f>E36+SUM(G37:P37)</f>
        <v>0</v>
      </c>
      <c r="F37" s="148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38.450000000000003" customHeight="1" thickBot="1">
      <c r="A38" s="232"/>
      <c r="B38" s="178"/>
      <c r="C38" s="151" t="s">
        <v>13</v>
      </c>
      <c r="D38" s="151"/>
      <c r="E38" s="129">
        <f>SUM(G38:P38)</f>
        <v>0</v>
      </c>
      <c r="F38" s="148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38.450000000000003" customHeight="1" thickBot="1">
      <c r="A39" s="232"/>
      <c r="B39" s="178"/>
      <c r="C39" s="151" t="s">
        <v>191</v>
      </c>
      <c r="D39" s="151"/>
      <c r="E39" s="129">
        <f>SUM(G39:P39)</f>
        <v>0</v>
      </c>
      <c r="F39" s="148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38.450000000000003" customHeight="1" thickBot="1">
      <c r="A40" s="232"/>
      <c r="B40" s="179"/>
      <c r="C40" s="151" t="s">
        <v>30</v>
      </c>
      <c r="D40" s="151"/>
      <c r="E40" s="129">
        <f t="shared" si="3"/>
        <v>0</v>
      </c>
      <c r="F40" s="148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38.450000000000003" customHeight="1" thickBot="1">
      <c r="A41" s="232"/>
      <c r="B41" s="177" t="s">
        <v>31</v>
      </c>
      <c r="C41" s="149" t="s">
        <v>32</v>
      </c>
      <c r="D41" s="149"/>
      <c r="E41" s="129">
        <f t="shared" si="3"/>
        <v>0</v>
      </c>
      <c r="F41" s="148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38.450000000000003" customHeight="1" thickBot="1">
      <c r="A42" s="232"/>
      <c r="B42" s="178"/>
      <c r="C42" s="187" t="s">
        <v>33</v>
      </c>
      <c r="D42" s="188"/>
      <c r="E42" s="129">
        <f>E41+SUM(G42:P42)</f>
        <v>0</v>
      </c>
      <c r="F42" s="148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38.450000000000003" customHeight="1" thickBot="1">
      <c r="A43" s="232"/>
      <c r="B43" s="178"/>
      <c r="C43" s="187" t="s">
        <v>34</v>
      </c>
      <c r="D43" s="188"/>
      <c r="E43" s="129">
        <f>E42+SUM(G43:P43)</f>
        <v>0</v>
      </c>
      <c r="F43" s="148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38.450000000000003" hidden="1" customHeight="1" thickBot="1">
      <c r="A44" s="232"/>
      <c r="B44" s="178"/>
      <c r="C44" s="187" t="s">
        <v>116</v>
      </c>
      <c r="D44" s="188"/>
      <c r="E44" s="129">
        <f>E43+SUM(G44:K44)</f>
        <v>0</v>
      </c>
      <c r="F44" s="148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38.450000000000003" customHeight="1" thickBot="1">
      <c r="A45" s="232"/>
      <c r="B45" s="178"/>
      <c r="C45" s="151" t="s">
        <v>13</v>
      </c>
      <c r="D45" s="151"/>
      <c r="E45" s="129">
        <f>SUM(G45:P45)</f>
        <v>0</v>
      </c>
      <c r="F45" s="148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38.450000000000003" customHeight="1" thickBot="1">
      <c r="A46" s="232"/>
      <c r="B46" s="178"/>
      <c r="C46" s="151" t="s">
        <v>191</v>
      </c>
      <c r="D46" s="151"/>
      <c r="E46" s="129">
        <f>SUM(G46:P46)</f>
        <v>0</v>
      </c>
      <c r="F46" s="148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38.450000000000003" customHeight="1" thickBot="1">
      <c r="A47" s="233"/>
      <c r="B47" s="179"/>
      <c r="C47" s="151" t="s">
        <v>30</v>
      </c>
      <c r="D47" s="151"/>
      <c r="E47" s="129">
        <f>SUM(G47:P47)</f>
        <v>0</v>
      </c>
      <c r="F47" s="148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3.5" customHeight="1" thickBot="1">
      <c r="A48" s="57"/>
      <c r="B48" s="57"/>
      <c r="C48" s="57"/>
      <c r="D48" s="57"/>
      <c r="E48" s="134"/>
      <c r="F48" s="57"/>
      <c r="G48" s="57"/>
      <c r="H48" s="57"/>
      <c r="I48" s="11"/>
      <c r="J48" s="57"/>
      <c r="K48" s="57"/>
      <c r="L48" s="11"/>
      <c r="M48" s="11"/>
      <c r="N48" s="11"/>
      <c r="O48" s="11"/>
    </row>
    <row r="49" spans="1:16" ht="38.450000000000003" customHeight="1" thickBot="1">
      <c r="A49" s="195" t="s">
        <v>36</v>
      </c>
      <c r="B49" s="202" t="s">
        <v>37</v>
      </c>
      <c r="C49" s="161" t="s">
        <v>13</v>
      </c>
      <c r="D49" s="162"/>
      <c r="E49" s="129">
        <f t="shared" ref="E49:E69" si="7">SUM(G49:P49)</f>
        <v>0</v>
      </c>
      <c r="F49" s="148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38.450000000000003" hidden="1" customHeight="1" thickBot="1">
      <c r="A50" s="196"/>
      <c r="B50" s="203"/>
      <c r="C50" s="161" t="s">
        <v>121</v>
      </c>
      <c r="D50" s="162"/>
      <c r="E50" s="129">
        <f t="shared" si="7"/>
        <v>0</v>
      </c>
      <c r="F50" s="148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38.450000000000003" customHeight="1" thickBot="1">
      <c r="A51" s="196"/>
      <c r="B51" s="203"/>
      <c r="C51" s="161" t="s">
        <v>179</v>
      </c>
      <c r="D51" s="162"/>
      <c r="E51" s="129">
        <f t="shared" ref="E51" si="8">SUM(G51:P51)</f>
        <v>0</v>
      </c>
      <c r="F51" s="148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38.450000000000003" hidden="1" customHeight="1" thickBot="1">
      <c r="A52" s="196"/>
      <c r="B52" s="204"/>
      <c r="C52" s="161" t="s">
        <v>122</v>
      </c>
      <c r="D52" s="162"/>
      <c r="E52" s="129">
        <f t="shared" si="7"/>
        <v>0</v>
      </c>
      <c r="F52" s="148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38.450000000000003" customHeight="1" thickBot="1">
      <c r="A53" s="196"/>
      <c r="B53" s="202" t="s">
        <v>38</v>
      </c>
      <c r="C53" s="161" t="s">
        <v>13</v>
      </c>
      <c r="D53" s="162"/>
      <c r="E53" s="129">
        <f t="shared" si="7"/>
        <v>0</v>
      </c>
      <c r="F53" s="148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38.450000000000003" hidden="1" customHeight="1" thickBot="1">
      <c r="A54" s="196"/>
      <c r="B54" s="203"/>
      <c r="C54" s="161" t="s">
        <v>121</v>
      </c>
      <c r="D54" s="162"/>
      <c r="E54" s="129">
        <f>SUM(G54:P54)</f>
        <v>0</v>
      </c>
      <c r="F54" s="148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38.450000000000003" customHeight="1" thickBot="1">
      <c r="A55" s="196"/>
      <c r="B55" s="203"/>
      <c r="C55" s="161" t="s">
        <v>179</v>
      </c>
      <c r="D55" s="162"/>
      <c r="E55" s="129">
        <f>SUM(G55:P55)</f>
        <v>0</v>
      </c>
      <c r="F55" s="148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38.450000000000003" hidden="1" customHeight="1" thickBot="1">
      <c r="A56" s="196"/>
      <c r="B56" s="203"/>
      <c r="C56" s="161" t="s">
        <v>122</v>
      </c>
      <c r="D56" s="162"/>
      <c r="E56" s="129">
        <f>SUM(G56:P56)</f>
        <v>0</v>
      </c>
      <c r="F56" s="148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38.450000000000003" customHeight="1" thickBot="1">
      <c r="A57" s="197"/>
      <c r="B57" s="204"/>
      <c r="C57" s="161" t="s">
        <v>39</v>
      </c>
      <c r="D57" s="162"/>
      <c r="E57" s="129">
        <f>SUM(G57:P57)</f>
        <v>0</v>
      </c>
      <c r="F57" s="148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38.450000000000003" customHeight="1" thickBot="1">
      <c r="A58" s="198" t="s">
        <v>14</v>
      </c>
      <c r="B58" s="170" t="s">
        <v>40</v>
      </c>
      <c r="C58" s="171"/>
      <c r="D58" s="172"/>
      <c r="E58" s="129">
        <f t="shared" si="7"/>
        <v>0</v>
      </c>
      <c r="F58" s="148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38.450000000000003" customHeight="1" thickBot="1">
      <c r="A59" s="199"/>
      <c r="B59" s="170" t="s">
        <v>15</v>
      </c>
      <c r="C59" s="171"/>
      <c r="D59" s="172"/>
      <c r="E59" s="129">
        <f t="shared" si="7"/>
        <v>0</v>
      </c>
      <c r="F59" s="148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34.5" customHeight="1" thickBot="1">
      <c r="A60" s="58"/>
      <c r="B60" s="58"/>
      <c r="C60" s="58"/>
      <c r="D60" s="58"/>
      <c r="E60" s="58"/>
      <c r="F60" s="58"/>
      <c r="G60" s="103"/>
      <c r="H60" s="103"/>
      <c r="I60" s="104"/>
      <c r="J60" s="103"/>
      <c r="K60" s="103"/>
      <c r="L60" s="104"/>
      <c r="M60" s="104"/>
      <c r="N60" s="104"/>
      <c r="O60" s="10"/>
    </row>
    <row r="61" spans="1:16" ht="38.450000000000003" customHeight="1" thickBot="1">
      <c r="A61" s="192" t="s">
        <v>41</v>
      </c>
      <c r="B61" s="152" t="s">
        <v>42</v>
      </c>
      <c r="C61" s="153"/>
      <c r="D61" s="154"/>
      <c r="E61" s="129">
        <f t="shared" si="7"/>
        <v>0</v>
      </c>
      <c r="F61" s="148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38.450000000000003" customHeight="1" thickBot="1">
      <c r="A62" s="193"/>
      <c r="B62" s="152" t="s">
        <v>43</v>
      </c>
      <c r="C62" s="153"/>
      <c r="D62" s="154"/>
      <c r="E62" s="129">
        <f t="shared" si="7"/>
        <v>0</v>
      </c>
      <c r="F62" s="148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38.450000000000003" customHeight="1" thickBot="1">
      <c r="A63" s="193"/>
      <c r="B63" s="152" t="s">
        <v>44</v>
      </c>
      <c r="C63" s="153"/>
      <c r="D63" s="154"/>
      <c r="E63" s="129">
        <f t="shared" si="7"/>
        <v>0</v>
      </c>
      <c r="F63" s="148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38.450000000000003" customHeight="1" thickBot="1">
      <c r="A64" s="194"/>
      <c r="B64" s="152" t="s">
        <v>45</v>
      </c>
      <c r="C64" s="153"/>
      <c r="D64" s="154"/>
      <c r="E64" s="129">
        <f t="shared" si="7"/>
        <v>0</v>
      </c>
      <c r="F64" s="148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30" customHeight="1" thickBot="1">
      <c r="A65" s="155" t="s">
        <v>16</v>
      </c>
      <c r="B65" s="156"/>
      <c r="C65" s="156"/>
      <c r="D65" s="157"/>
      <c r="E65" s="129">
        <f t="shared" si="7"/>
        <v>0</v>
      </c>
      <c r="F65" s="148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38.450000000000003" customHeight="1" thickBot="1">
      <c r="A66" s="200" t="s">
        <v>46</v>
      </c>
      <c r="B66" s="158" t="s">
        <v>12</v>
      </c>
      <c r="C66" s="159"/>
      <c r="D66" s="160"/>
      <c r="E66" s="129">
        <f t="shared" si="7"/>
        <v>0</v>
      </c>
      <c r="F66" s="148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32.25" thickBot="1">
      <c r="A67" s="201"/>
      <c r="B67" s="158" t="s">
        <v>11</v>
      </c>
      <c r="C67" s="159"/>
      <c r="D67" s="160"/>
      <c r="E67" s="129">
        <f t="shared" si="7"/>
        <v>0</v>
      </c>
      <c r="F67" s="148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27" thickBot="1"/>
    <row r="69" spans="1:16" ht="32.25" thickBot="1">
      <c r="A69" s="166" t="s">
        <v>47</v>
      </c>
      <c r="B69" s="184" t="s">
        <v>8</v>
      </c>
      <c r="C69" s="185"/>
      <c r="D69" s="186"/>
      <c r="E69" s="4">
        <f t="shared" si="7"/>
        <v>0</v>
      </c>
      <c r="F69" s="169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32.25" hidden="1" thickBot="1">
      <c r="A70" s="167"/>
      <c r="B70" s="145" t="s">
        <v>153</v>
      </c>
      <c r="C70" s="146"/>
      <c r="D70" s="147"/>
      <c r="E70" s="4">
        <f t="shared" ref="E70:E71" si="9">SUM(G70:P70)</f>
        <v>0</v>
      </c>
      <c r="F70" s="169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32.25" hidden="1" thickBot="1">
      <c r="A71" s="167"/>
      <c r="B71" s="145" t="s">
        <v>154</v>
      </c>
      <c r="C71" s="146"/>
      <c r="D71" s="147"/>
      <c r="E71" s="4">
        <f t="shared" si="9"/>
        <v>0</v>
      </c>
      <c r="F71" s="169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32.25" thickBot="1">
      <c r="A72" s="167"/>
      <c r="B72" s="184" t="s">
        <v>9</v>
      </c>
      <c r="C72" s="185"/>
      <c r="D72" s="186"/>
      <c r="E72" s="4">
        <f>E69+SUM(G72:P72)</f>
        <v>0</v>
      </c>
      <c r="F72" s="169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32.25" thickBot="1">
      <c r="A73" s="168"/>
      <c r="B73" s="184" t="s">
        <v>10</v>
      </c>
      <c r="C73" s="185"/>
      <c r="D73" s="186"/>
      <c r="E73" s="4">
        <f>E69+SUM(G73:P73)</f>
        <v>0</v>
      </c>
      <c r="F73" s="169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27" thickBot="1"/>
    <row r="75" spans="1:16" ht="32.25" thickBot="1">
      <c r="A75" s="189" t="s">
        <v>52</v>
      </c>
      <c r="B75" s="163" t="s">
        <v>53</v>
      </c>
      <c r="C75" s="164"/>
      <c r="D75" s="165"/>
      <c r="E75" s="4">
        <f>SUM(G75:P75)</f>
        <v>0</v>
      </c>
      <c r="F75" s="139" t="e">
        <f>E75+SUMIF(#REF!,#REF!, H75:P75)</f>
        <v>#REF!</v>
      </c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32.25" thickBot="1">
      <c r="A76" s="190"/>
      <c r="B76" s="163" t="s">
        <v>54</v>
      </c>
      <c r="C76" s="164"/>
      <c r="D76" s="165"/>
      <c r="E76" s="4">
        <f>SUM(G76:P76)</f>
        <v>0</v>
      </c>
      <c r="F76" s="140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32.25" thickBot="1">
      <c r="A77" s="190"/>
      <c r="B77" s="163" t="s">
        <v>55</v>
      </c>
      <c r="C77" s="164"/>
      <c r="D77" s="165"/>
      <c r="E77" s="4">
        <f>SUM(G77:P77)</f>
        <v>0</v>
      </c>
      <c r="F77" s="141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32.25" thickBot="1">
      <c r="A78" s="191"/>
      <c r="B78" s="163" t="s">
        <v>75</v>
      </c>
      <c r="C78" s="164"/>
      <c r="D78" s="165"/>
      <c r="E78" s="4">
        <f>SUM(G78:P78)</f>
        <v>0</v>
      </c>
      <c r="F78" s="41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27" customHeight="1" thickBot="1"/>
    <row r="80" spans="1:16" ht="32.25" thickBot="1">
      <c r="A80" s="173" t="s">
        <v>117</v>
      </c>
      <c r="B80" s="142" t="s">
        <v>118</v>
      </c>
      <c r="C80" s="143"/>
      <c r="D80" s="144"/>
      <c r="E80" s="4">
        <f>SUM(G80:P80)</f>
        <v>0</v>
      </c>
      <c r="F80" s="139" t="e">
        <f>E80+SUMIF(#REF!,#REF!, H80:P80)</f>
        <v>#REF!</v>
      </c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32.25" thickBot="1">
      <c r="A81" s="174"/>
      <c r="B81" s="142" t="s">
        <v>119</v>
      </c>
      <c r="C81" s="143"/>
      <c r="D81" s="144"/>
      <c r="E81" s="4">
        <f>SUM(G81:P81)</f>
        <v>0</v>
      </c>
      <c r="F81" s="140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32.25" thickBot="1">
      <c r="A82" s="175"/>
      <c r="B82" s="142" t="s">
        <v>120</v>
      </c>
      <c r="C82" s="143"/>
      <c r="D82" s="144"/>
      <c r="E82" s="4">
        <f>SUM(G82:P82)</f>
        <v>0</v>
      </c>
      <c r="F82" s="141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27" thickBot="1"/>
    <row r="84" spans="1:16" ht="32.25" thickBot="1">
      <c r="A84" s="223" t="s">
        <v>143</v>
      </c>
      <c r="B84" s="226" t="s">
        <v>144</v>
      </c>
      <c r="C84" s="227"/>
      <c r="D84" s="228"/>
      <c r="E84" s="4">
        <f t="shared" ref="E84" si="10">SUM(G84:P84)</f>
        <v>0</v>
      </c>
      <c r="F84" s="139" t="e">
        <f>E84+SUMIF(#REF!,#REF!, H84:P84)</f>
        <v>#REF!</v>
      </c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32.25" thickBot="1">
      <c r="A85" s="224"/>
      <c r="B85" s="226" t="s">
        <v>145</v>
      </c>
      <c r="C85" s="227"/>
      <c r="D85" s="228"/>
      <c r="E85" s="4">
        <f>E84+SUM(G85:P85)</f>
        <v>0</v>
      </c>
      <c r="F85" s="140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32.25" thickBot="1">
      <c r="A86" s="225"/>
      <c r="B86" s="226" t="s">
        <v>146</v>
      </c>
      <c r="C86" s="227"/>
      <c r="D86" s="228"/>
      <c r="E86" s="4">
        <f>E85+SUM(G86:K86)</f>
        <v>0</v>
      </c>
      <c r="F86" s="141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27" thickBot="1"/>
    <row r="88" spans="1:16" ht="32.25" thickBot="1">
      <c r="A88" s="229" t="s">
        <v>147</v>
      </c>
      <c r="B88" s="220" t="s">
        <v>148</v>
      </c>
      <c r="C88" s="221"/>
      <c r="D88" s="222"/>
      <c r="E88" s="4">
        <f t="shared" ref="E88" si="11">SUM(G88:P88)</f>
        <v>0</v>
      </c>
      <c r="F88" s="139" t="e">
        <f>E88+SUMIF(#REF!,#REF!, H88:P88)</f>
        <v>#REF!</v>
      </c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32.25" thickBot="1">
      <c r="A89" s="230"/>
      <c r="B89" s="220" t="s">
        <v>149</v>
      </c>
      <c r="C89" s="221"/>
      <c r="D89" s="222"/>
      <c r="E89" s="4">
        <f>E88+SUM(G89:P89)</f>
        <v>0</v>
      </c>
      <c r="F89" s="140"/>
      <c r="G89" s="2"/>
      <c r="H89" s="2"/>
      <c r="I89" s="2"/>
      <c r="J89" s="2"/>
      <c r="K89" s="2"/>
      <c r="L89" s="2"/>
      <c r="M89" s="2"/>
      <c r="N89" s="2"/>
      <c r="O89" s="2"/>
      <c r="P89" s="2"/>
    </row>
  </sheetData>
  <mergeCells count="105">
    <mergeCell ref="A1:L1"/>
    <mergeCell ref="A3:B3"/>
    <mergeCell ref="C3:D3"/>
    <mergeCell ref="A4:B4"/>
    <mergeCell ref="C4:D4"/>
    <mergeCell ref="F88:F89"/>
    <mergeCell ref="B89:D89"/>
    <mergeCell ref="A84:A86"/>
    <mergeCell ref="B84:D84"/>
    <mergeCell ref="F84:F86"/>
    <mergeCell ref="B85:D85"/>
    <mergeCell ref="B86:D86"/>
    <mergeCell ref="C52:D52"/>
    <mergeCell ref="C53:D53"/>
    <mergeCell ref="C36:D36"/>
    <mergeCell ref="A88:A89"/>
    <mergeCell ref="B88:D88"/>
    <mergeCell ref="A23:A47"/>
    <mergeCell ref="B41:B47"/>
    <mergeCell ref="C40:D40"/>
    <mergeCell ref="C43:D43"/>
    <mergeCell ref="C37:D37"/>
    <mergeCell ref="C41:D41"/>
    <mergeCell ref="C33:D33"/>
    <mergeCell ref="C44:D44"/>
    <mergeCell ref="C45:D45"/>
    <mergeCell ref="C47:D47"/>
    <mergeCell ref="C55:D55"/>
    <mergeCell ref="A6:B7"/>
    <mergeCell ref="C6:D6"/>
    <mergeCell ref="C14:D14"/>
    <mergeCell ref="C13:D13"/>
    <mergeCell ref="A8:B15"/>
    <mergeCell ref="C8:D8"/>
    <mergeCell ref="C9:D9"/>
    <mergeCell ref="C10:D10"/>
    <mergeCell ref="C15:D15"/>
    <mergeCell ref="C11:D11"/>
    <mergeCell ref="C12:D12"/>
    <mergeCell ref="C7:D7"/>
    <mergeCell ref="A16:B19"/>
    <mergeCell ref="C16:D16"/>
    <mergeCell ref="C24:D24"/>
    <mergeCell ref="C17:D17"/>
    <mergeCell ref="B34:B40"/>
    <mergeCell ref="C31:D31"/>
    <mergeCell ref="C39:D39"/>
    <mergeCell ref="C46:D46"/>
    <mergeCell ref="B58:D58"/>
    <mergeCell ref="A58:A59"/>
    <mergeCell ref="A66:A67"/>
    <mergeCell ref="B53:B57"/>
    <mergeCell ref="B67:D67"/>
    <mergeCell ref="B61:D61"/>
    <mergeCell ref="C51:D51"/>
    <mergeCell ref="B64:D64"/>
    <mergeCell ref="B49:B52"/>
    <mergeCell ref="A80:A82"/>
    <mergeCell ref="B80:D80"/>
    <mergeCell ref="C50:D50"/>
    <mergeCell ref="C49:D49"/>
    <mergeCell ref="C54:D54"/>
    <mergeCell ref="C18:D18"/>
    <mergeCell ref="C19:D19"/>
    <mergeCell ref="B23:B33"/>
    <mergeCell ref="C32:D32"/>
    <mergeCell ref="C27:D27"/>
    <mergeCell ref="C28:D28"/>
    <mergeCell ref="C26:D26"/>
    <mergeCell ref="C25:D25"/>
    <mergeCell ref="B73:D73"/>
    <mergeCell ref="B69:D69"/>
    <mergeCell ref="B72:D72"/>
    <mergeCell ref="C57:D57"/>
    <mergeCell ref="C42:D42"/>
    <mergeCell ref="A75:A78"/>
    <mergeCell ref="B78:D78"/>
    <mergeCell ref="B75:D75"/>
    <mergeCell ref="B76:D76"/>
    <mergeCell ref="A61:A64"/>
    <mergeCell ref="A49:A57"/>
    <mergeCell ref="F80:F82"/>
    <mergeCell ref="B81:D81"/>
    <mergeCell ref="B82:D82"/>
    <mergeCell ref="B70:D70"/>
    <mergeCell ref="B71:D71"/>
    <mergeCell ref="F23:F47"/>
    <mergeCell ref="C23:D23"/>
    <mergeCell ref="C35:D35"/>
    <mergeCell ref="C34:D34"/>
    <mergeCell ref="C29:D29"/>
    <mergeCell ref="C30:D30"/>
    <mergeCell ref="F61:F67"/>
    <mergeCell ref="F49:F59"/>
    <mergeCell ref="B62:D62"/>
    <mergeCell ref="B63:D63"/>
    <mergeCell ref="A65:D65"/>
    <mergeCell ref="B66:D66"/>
    <mergeCell ref="C56:D56"/>
    <mergeCell ref="F75:F77"/>
    <mergeCell ref="B77:D77"/>
    <mergeCell ref="A69:A73"/>
    <mergeCell ref="F69:F73"/>
    <mergeCell ref="B59:D59"/>
    <mergeCell ref="C38:D38"/>
  </mergeCells>
  <phoneticPr fontId="4" type="noConversion"/>
  <conditionalFormatting sqref="E14">
    <cfRule type="cellIs" dxfId="186" priority="83" operator="lessThan">
      <formula>E15</formula>
    </cfRule>
    <cfRule type="cellIs" dxfId="185" priority="84" operator="greaterThan">
      <formula>E15</formula>
    </cfRule>
  </conditionalFormatting>
  <conditionalFormatting sqref="E15">
    <cfRule type="cellIs" dxfId="184" priority="81" operator="lessThan">
      <formula>E14</formula>
    </cfRule>
    <cfRule type="cellIs" dxfId="183" priority="82" operator="greaterThan">
      <formula>E14</formula>
    </cfRule>
  </conditionalFormatting>
  <conditionalFormatting sqref="G11:I11">
    <cfRule type="expression" dxfId="182" priority="8">
      <formula>#REF!="후"</formula>
    </cfRule>
  </conditionalFormatting>
  <conditionalFormatting sqref="G12:I13">
    <cfRule type="expression" dxfId="181" priority="6">
      <formula>IF($J$14&gt;$J$15, )</formula>
    </cfRule>
    <cfRule type="cellIs" dxfId="180" priority="7" operator="equal">
      <formula>0</formula>
    </cfRule>
  </conditionalFormatting>
  <conditionalFormatting sqref="G6:K7">
    <cfRule type="expression" dxfId="179" priority="1">
      <formula>G$4="　"</formula>
    </cfRule>
    <cfRule type="expression" dxfId="178" priority="2">
      <formula>G$4="변경/해지"</formula>
    </cfRule>
    <cfRule type="expression" dxfId="177" priority="3">
      <formula>G$4="후"</formula>
    </cfRule>
    <cfRule type="expression" dxfId="176" priority="4">
      <formula>G$4="변경"</formula>
    </cfRule>
    <cfRule type="expression" dxfId="175" priority="5">
      <formula>G$4="해지"</formula>
    </cfRule>
  </conditionalFormatting>
  <conditionalFormatting sqref="G14:P14">
    <cfRule type="cellIs" dxfId="174" priority="9" operator="greaterThan">
      <formula>G15</formula>
    </cfRule>
    <cfRule type="cellIs" dxfId="173" priority="10" operator="lessThan">
      <formula>G15</formula>
    </cfRule>
  </conditionalFormatting>
  <conditionalFormatting sqref="G15:P15">
    <cfRule type="cellIs" dxfId="172" priority="11" operator="lessThan">
      <formula>G14</formula>
    </cfRule>
    <cfRule type="cellIs" dxfId="171" priority="12" operator="greaterThan">
      <formula>G14</formula>
    </cfRule>
  </conditionalFormatting>
  <conditionalFormatting sqref="J11:P11">
    <cfRule type="expression" dxfId="170" priority="15">
      <formula>J$4="후"</formula>
    </cfRule>
  </conditionalFormatting>
  <conditionalFormatting sqref="J12:P13">
    <cfRule type="expression" dxfId="169" priority="13">
      <formula>IF($J$13&gt;$J$14, )</formula>
    </cfRule>
    <cfRule type="cellIs" dxfId="168" priority="14" operator="equal">
      <formula>0</formula>
    </cfRule>
  </conditionalFormatting>
  <conditionalFormatting sqref="L6:P7">
    <cfRule type="expression" dxfId="167" priority="16">
      <formula>L$4="　"</formula>
    </cfRule>
    <cfRule type="expression" dxfId="166" priority="17">
      <formula>L$4="변경/해지"</formula>
    </cfRule>
    <cfRule type="expression" dxfId="165" priority="18">
      <formula>L$4="후"</formula>
    </cfRule>
    <cfRule type="expression" dxfId="164" priority="19">
      <formula>L$4="변경"</formula>
    </cfRule>
    <cfRule type="expression" dxfId="163" priority="20">
      <formula>L$4="해지"</formula>
    </cfRule>
  </conditionalFormatting>
  <printOptions horizontalCentered="1"/>
  <pageMargins left="0" right="0" top="0" bottom="0" header="0" footer="0"/>
  <pageSetup paperSize="9" scale="3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88"/>
  <sheetViews>
    <sheetView showGridLines="0" view="pageBreakPreview" zoomScale="55" zoomScaleNormal="55" zoomScaleSheetLayoutView="55" zoomScalePageLayoutView="40" workbookViewId="0">
      <pane xSplit="7" ySplit="6" topLeftCell="H10" activePane="bottomRight" state="frozen"/>
      <selection activeCell="C2" sqref="C2:D2"/>
      <selection pane="topRight" activeCell="C2" sqref="C2:D2"/>
      <selection pane="bottomLeft" activeCell="C2" sqref="C2:D2"/>
      <selection pane="bottomRight" sqref="A1:N1"/>
    </sheetView>
  </sheetViews>
  <sheetFormatPr defaultColWidth="8.75" defaultRowHeight="26.25"/>
  <cols>
    <col min="1" max="1" width="12.625" style="13" customWidth="1"/>
    <col min="2" max="2" width="8.625" style="13" customWidth="1"/>
    <col min="3" max="4" width="13.625" style="13" customWidth="1"/>
    <col min="5" max="5" width="25.625" style="13" customWidth="1"/>
    <col min="6" max="6" width="4.75" style="13" customWidth="1"/>
    <col min="7" max="7" width="25.625" style="13" customWidth="1"/>
    <col min="8" max="8" width="20.125" style="13" customWidth="1"/>
    <col min="9" max="9" width="3" style="13" customWidth="1"/>
    <col min="10" max="19" width="24.875" style="13" customWidth="1"/>
    <col min="20" max="21" width="5.625" style="13" hidden="1" customWidth="1"/>
    <col min="22" max="22" width="8.5" style="13" hidden="1" customWidth="1"/>
    <col min="23" max="23" width="8.75" style="13" hidden="1" customWidth="1"/>
    <col min="24" max="24" width="17" style="13" hidden="1" customWidth="1"/>
    <col min="25" max="25" width="8.25" style="13" customWidth="1"/>
    <col min="26" max="16384" width="8.75" style="13"/>
  </cols>
  <sheetData>
    <row r="1" spans="1:24" ht="99.75" customHeight="1">
      <c r="A1" s="258" t="str">
        <f>'통합보장 분석(전)'!A1:L1</f>
        <v xml:space="preserve">VIP 고객님 통합보장 분석                                                                                                                                         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102"/>
      <c r="P1" s="102"/>
      <c r="Q1" s="56"/>
      <c r="R1" s="56"/>
      <c r="S1" s="56"/>
    </row>
    <row r="2" spans="1:24" ht="30" customHeight="1">
      <c r="A2" s="214" t="s">
        <v>174</v>
      </c>
      <c r="B2" s="214"/>
      <c r="C2" s="215" t="str">
        <f ca="1">"보험나이 "&amp;DATEDIF(EDATE($A$3,-6),$I$4,"y")&amp;"세"</f>
        <v>보험나이 35세</v>
      </c>
      <c r="D2" s="216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24" ht="30" customHeight="1">
      <c r="A3" s="217">
        <f>'통합보장 분석(전)'!A4:B4</f>
        <v>33302</v>
      </c>
      <c r="B3" s="217"/>
      <c r="C3" s="218">
        <f>EDATE($A$3,6)</f>
        <v>33486</v>
      </c>
      <c r="D3" s="219"/>
      <c r="E3" s="102"/>
      <c r="F3" s="102"/>
      <c r="G3" s="102"/>
      <c r="H3" s="102"/>
      <c r="I3" s="102"/>
      <c r="J3" s="137"/>
      <c r="K3" s="137"/>
      <c r="L3" s="137"/>
      <c r="M3" s="137"/>
      <c r="N3" s="137"/>
      <c r="O3" s="137"/>
      <c r="P3" s="137"/>
      <c r="Q3" s="137"/>
      <c r="R3" s="137"/>
      <c r="S3" s="137"/>
    </row>
    <row r="4" spans="1:24" ht="27" customHeight="1" thickBot="1">
      <c r="A4" s="14"/>
      <c r="B4" s="14"/>
      <c r="C4" s="303"/>
      <c r="D4" s="303"/>
      <c r="E4" s="119"/>
      <c r="F4" s="14"/>
      <c r="G4" s="118"/>
      <c r="H4" s="120"/>
      <c r="I4" s="123">
        <f ca="1">TODAY()</f>
        <v>46207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3" t="s">
        <v>49</v>
      </c>
      <c r="U4" s="13" t="s">
        <v>48</v>
      </c>
      <c r="V4" s="13" t="s">
        <v>56</v>
      </c>
      <c r="W4" s="13" t="s">
        <v>74</v>
      </c>
      <c r="X4" s="13" t="s">
        <v>125</v>
      </c>
    </row>
    <row r="5" spans="1:24" ht="44.45" customHeight="1" thickBot="1">
      <c r="A5" s="288" t="s">
        <v>0</v>
      </c>
      <c r="B5" s="288"/>
      <c r="C5" s="289" t="s">
        <v>1</v>
      </c>
      <c r="D5" s="290"/>
      <c r="E5" s="2" t="s">
        <v>50</v>
      </c>
      <c r="F5" s="280" t="s">
        <v>124</v>
      </c>
      <c r="G5" s="2" t="s">
        <v>51</v>
      </c>
      <c r="H5" s="2" t="s">
        <v>57</v>
      </c>
      <c r="I5" s="15"/>
      <c r="J5" s="88"/>
      <c r="K5" s="88"/>
      <c r="L5" s="88"/>
      <c r="M5" s="88"/>
      <c r="N5" s="88"/>
      <c r="O5" s="88"/>
      <c r="P5" s="88"/>
      <c r="Q5" s="88"/>
      <c r="R5" s="88"/>
      <c r="S5" s="88"/>
    </row>
    <row r="6" spans="1:24" ht="30.75" thickBot="1">
      <c r="A6" s="288"/>
      <c r="B6" s="288"/>
      <c r="C6" s="289" t="s">
        <v>2</v>
      </c>
      <c r="D6" s="290"/>
      <c r="E6" s="2"/>
      <c r="F6" s="169"/>
      <c r="G6" s="2"/>
      <c r="H6" s="36">
        <f>G6-E6</f>
        <v>0</v>
      </c>
      <c r="I6" s="15"/>
      <c r="J6" s="89"/>
      <c r="K6" s="89"/>
      <c r="L6" s="89"/>
      <c r="M6" s="89"/>
      <c r="N6" s="89"/>
      <c r="O6" s="89"/>
      <c r="P6" s="89"/>
      <c r="Q6" s="89"/>
      <c r="R6" s="89"/>
      <c r="S6" s="89"/>
    </row>
    <row r="7" spans="1:24" ht="32.25" thickBot="1">
      <c r="A7" s="287" t="s">
        <v>73</v>
      </c>
      <c r="B7" s="288"/>
      <c r="C7" s="289" t="s">
        <v>4</v>
      </c>
      <c r="D7" s="290"/>
      <c r="E7" s="2"/>
      <c r="F7" s="169"/>
      <c r="G7" s="2"/>
      <c r="H7" s="20">
        <f t="shared" ref="H7:H18" si="0">G7-E7</f>
        <v>0</v>
      </c>
      <c r="I7" s="15"/>
      <c r="J7" s="90"/>
      <c r="K7" s="90"/>
      <c r="L7" s="90"/>
      <c r="M7" s="90"/>
      <c r="N7" s="90"/>
      <c r="O7" s="90"/>
      <c r="P7" s="90"/>
      <c r="Q7" s="90"/>
      <c r="R7" s="90"/>
      <c r="S7" s="90"/>
    </row>
    <row r="8" spans="1:24" ht="32.25" thickBot="1">
      <c r="A8" s="288"/>
      <c r="B8" s="288"/>
      <c r="C8" s="289" t="s">
        <v>5</v>
      </c>
      <c r="D8" s="290"/>
      <c r="E8" s="2"/>
      <c r="F8" s="169"/>
      <c r="G8" s="2"/>
      <c r="H8" s="20">
        <f t="shared" si="0"/>
        <v>0</v>
      </c>
      <c r="I8" s="15"/>
      <c r="J8" s="91"/>
      <c r="K8" s="91"/>
      <c r="L8" s="91"/>
      <c r="M8" s="91"/>
      <c r="N8" s="91"/>
      <c r="O8" s="91"/>
      <c r="P8" s="91"/>
      <c r="Q8" s="91"/>
      <c r="R8" s="91"/>
      <c r="S8" s="91"/>
    </row>
    <row r="9" spans="1:24" ht="32.25" thickBot="1">
      <c r="A9" s="288"/>
      <c r="B9" s="288"/>
      <c r="C9" s="289" t="s">
        <v>6</v>
      </c>
      <c r="D9" s="290"/>
      <c r="E9" s="2"/>
      <c r="F9" s="169"/>
      <c r="G9" s="2"/>
      <c r="H9" s="20">
        <f t="shared" si="0"/>
        <v>0</v>
      </c>
      <c r="I9" s="15"/>
      <c r="J9" s="91"/>
      <c r="K9" s="91"/>
      <c r="L9" s="91"/>
      <c r="M9" s="91"/>
      <c r="N9" s="91"/>
      <c r="O9" s="91"/>
      <c r="P9" s="91"/>
      <c r="Q9" s="91"/>
      <c r="R9" s="91"/>
      <c r="S9" s="91"/>
    </row>
    <row r="10" spans="1:24" ht="30.75" thickBot="1">
      <c r="A10" s="288"/>
      <c r="B10" s="288"/>
      <c r="C10" s="289" t="s">
        <v>7</v>
      </c>
      <c r="D10" s="290"/>
      <c r="E10" s="37">
        <f t="shared" ref="E10:E18" si="1">SUMIF($J$4:$S$4,$T$4, J10:U10)+SUMIF($J$4:$S$4, $V$4, J10:U10)+SUMIF($J$4:$S$4, $X$4, J10:U10)</f>
        <v>0</v>
      </c>
      <c r="F10" s="169"/>
      <c r="G10" s="37">
        <f t="shared" ref="G10:G18" si="2">E10+SUMIF($J$4:$S$4,$U$4, J10:S10)-SUMIF($J$4:$S$4, $V$4, J10:S10)+SUMIF($J$4:$S$4,$W$4, J10:S10)-SUMIF($J$4:$S$4, $X$4, J10:S10)</f>
        <v>0</v>
      </c>
      <c r="H10" s="39">
        <f t="shared" si="0"/>
        <v>0</v>
      </c>
      <c r="I10" s="15"/>
      <c r="J10" s="92"/>
      <c r="K10" s="92"/>
      <c r="L10" s="92"/>
      <c r="M10" s="92"/>
      <c r="N10" s="92"/>
      <c r="O10" s="92"/>
      <c r="P10" s="92"/>
      <c r="Q10" s="92"/>
      <c r="R10" s="92"/>
      <c r="S10" s="92"/>
    </row>
    <row r="11" spans="1:24" s="18" customFormat="1" ht="30.75" hidden="1" thickBot="1">
      <c r="A11" s="288"/>
      <c r="B11" s="288"/>
      <c r="C11" s="282" t="s">
        <v>155</v>
      </c>
      <c r="D11" s="283"/>
      <c r="E11" s="37">
        <f t="shared" si="1"/>
        <v>0</v>
      </c>
      <c r="F11" s="169"/>
      <c r="G11" s="37">
        <f t="shared" si="2"/>
        <v>0</v>
      </c>
      <c r="H11" s="39">
        <f t="shared" si="0"/>
        <v>0</v>
      </c>
      <c r="I11" s="7"/>
      <c r="J11" s="92"/>
      <c r="K11" s="92"/>
      <c r="L11" s="92"/>
      <c r="M11" s="92"/>
      <c r="N11" s="92"/>
      <c r="O11" s="92"/>
      <c r="P11" s="92"/>
      <c r="Q11" s="92"/>
      <c r="R11" s="92"/>
      <c r="S11" s="92"/>
    </row>
    <row r="12" spans="1:24" s="18" customFormat="1" ht="30.75" hidden="1" thickBot="1">
      <c r="A12" s="288"/>
      <c r="B12" s="288"/>
      <c r="C12" s="282" t="s">
        <v>123</v>
      </c>
      <c r="D12" s="283"/>
      <c r="E12" s="37">
        <f t="shared" si="1"/>
        <v>0</v>
      </c>
      <c r="F12" s="169"/>
      <c r="G12" s="37">
        <f t="shared" si="2"/>
        <v>0</v>
      </c>
      <c r="H12" s="39">
        <f t="shared" ref="H12" si="3">G12-E12</f>
        <v>0</v>
      </c>
      <c r="I12" s="7"/>
      <c r="J12" s="92"/>
      <c r="K12" s="92"/>
      <c r="L12" s="92"/>
      <c r="M12" s="92"/>
      <c r="N12" s="92"/>
      <c r="O12" s="92"/>
      <c r="P12" s="92"/>
      <c r="Q12" s="92"/>
      <c r="R12" s="92"/>
      <c r="S12" s="92"/>
    </row>
    <row r="13" spans="1:24" s="9" customFormat="1" ht="27" hidden="1" thickBot="1">
      <c r="A13" s="288"/>
      <c r="B13" s="288"/>
      <c r="C13" s="282" t="s">
        <v>150</v>
      </c>
      <c r="D13" s="283"/>
      <c r="E13" s="97">
        <f t="shared" si="1"/>
        <v>0</v>
      </c>
      <c r="F13" s="169"/>
      <c r="G13" s="97">
        <f t="shared" si="2"/>
        <v>0</v>
      </c>
      <c r="H13" s="38"/>
      <c r="I13" s="8"/>
      <c r="J13" s="95"/>
      <c r="K13" s="95"/>
      <c r="L13" s="95"/>
      <c r="M13" s="95"/>
      <c r="N13" s="95"/>
      <c r="O13" s="95"/>
      <c r="P13" s="95"/>
      <c r="Q13" s="95"/>
      <c r="R13" s="95"/>
      <c r="S13" s="95"/>
    </row>
    <row r="14" spans="1:24" s="9" customFormat="1" ht="27" hidden="1" thickBot="1">
      <c r="A14" s="288"/>
      <c r="B14" s="288"/>
      <c r="C14" s="282" t="s">
        <v>151</v>
      </c>
      <c r="D14" s="283"/>
      <c r="E14" s="97">
        <f t="shared" si="1"/>
        <v>0</v>
      </c>
      <c r="F14" s="169"/>
      <c r="G14" s="97">
        <f t="shared" si="2"/>
        <v>0</v>
      </c>
      <c r="H14" s="38"/>
      <c r="I14" s="6"/>
      <c r="J14" s="95"/>
      <c r="K14" s="95"/>
      <c r="L14" s="95"/>
      <c r="M14" s="95"/>
      <c r="N14" s="95"/>
      <c r="O14" s="95"/>
      <c r="P14" s="95"/>
      <c r="Q14" s="95"/>
      <c r="R14" s="95"/>
      <c r="S14" s="95"/>
    </row>
    <row r="15" spans="1:24" ht="38.450000000000003" customHeight="1" thickBot="1">
      <c r="A15" s="259" t="s">
        <v>17</v>
      </c>
      <c r="B15" s="259"/>
      <c r="C15" s="293" t="s">
        <v>18</v>
      </c>
      <c r="D15" s="294"/>
      <c r="E15" s="4">
        <f t="shared" si="1"/>
        <v>0</v>
      </c>
      <c r="F15" s="169"/>
      <c r="G15" s="4">
        <f t="shared" si="2"/>
        <v>0</v>
      </c>
      <c r="H15" s="20">
        <f t="shared" si="0"/>
        <v>0</v>
      </c>
      <c r="I15" s="6"/>
      <c r="J15" s="91"/>
      <c r="K15" s="91"/>
      <c r="L15" s="91"/>
      <c r="M15" s="91"/>
      <c r="N15" s="91"/>
      <c r="O15" s="91"/>
      <c r="P15" s="91"/>
      <c r="Q15" s="91"/>
      <c r="R15" s="91"/>
      <c r="S15" s="91"/>
    </row>
    <row r="16" spans="1:24" ht="38.450000000000003" customHeight="1" thickBot="1">
      <c r="A16" s="259"/>
      <c r="B16" s="259"/>
      <c r="C16" s="293" t="s">
        <v>19</v>
      </c>
      <c r="D16" s="294"/>
      <c r="E16" s="4">
        <f t="shared" si="1"/>
        <v>0</v>
      </c>
      <c r="F16" s="169"/>
      <c r="G16" s="4">
        <f t="shared" si="2"/>
        <v>0</v>
      </c>
      <c r="H16" s="20">
        <f t="shared" si="0"/>
        <v>0</v>
      </c>
      <c r="I16" s="8"/>
      <c r="J16" s="91"/>
      <c r="K16" s="91"/>
      <c r="L16" s="91"/>
      <c r="M16" s="91"/>
      <c r="N16" s="91"/>
      <c r="O16" s="91"/>
      <c r="P16" s="91"/>
      <c r="Q16" s="91"/>
      <c r="R16" s="91"/>
      <c r="S16" s="91"/>
    </row>
    <row r="17" spans="1:19" ht="38.450000000000003" customHeight="1" thickBot="1">
      <c r="A17" s="259"/>
      <c r="B17" s="259"/>
      <c r="C17" s="293" t="s">
        <v>20</v>
      </c>
      <c r="D17" s="294"/>
      <c r="E17" s="4">
        <f t="shared" si="1"/>
        <v>0</v>
      </c>
      <c r="F17" s="169"/>
      <c r="G17" s="4">
        <f t="shared" si="2"/>
        <v>0</v>
      </c>
      <c r="H17" s="20">
        <f t="shared" si="0"/>
        <v>0</v>
      </c>
      <c r="I17" s="6"/>
      <c r="J17" s="91"/>
      <c r="K17" s="91"/>
      <c r="L17" s="91"/>
      <c r="M17" s="91"/>
      <c r="N17" s="91"/>
      <c r="O17" s="91"/>
      <c r="P17" s="91"/>
      <c r="Q17" s="91"/>
      <c r="R17" s="91"/>
      <c r="S17" s="91"/>
    </row>
    <row r="18" spans="1:19" ht="38.450000000000003" customHeight="1" thickBot="1">
      <c r="A18" s="259"/>
      <c r="B18" s="259"/>
      <c r="C18" s="293" t="s">
        <v>21</v>
      </c>
      <c r="D18" s="294"/>
      <c r="E18" s="4">
        <f t="shared" si="1"/>
        <v>0</v>
      </c>
      <c r="F18" s="281"/>
      <c r="G18" s="4">
        <f t="shared" si="2"/>
        <v>0</v>
      </c>
      <c r="H18" s="20">
        <f t="shared" si="0"/>
        <v>0</v>
      </c>
      <c r="I18" s="6"/>
      <c r="J18" s="91"/>
      <c r="K18" s="91"/>
      <c r="L18" s="91"/>
      <c r="M18" s="91"/>
      <c r="N18" s="91"/>
      <c r="O18" s="91"/>
      <c r="P18" s="91"/>
      <c r="Q18" s="91"/>
      <c r="R18" s="91"/>
      <c r="S18" s="91"/>
    </row>
    <row r="19" spans="1:19" ht="69.7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</row>
    <row r="20" spans="1:19" ht="69.7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</row>
    <row r="21" spans="1:19" ht="69.75" customHeight="1" thickBo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</row>
    <row r="22" spans="1:19" ht="38.450000000000003" customHeight="1" thickBot="1">
      <c r="A22" s="271" t="s">
        <v>35</v>
      </c>
      <c r="B22" s="266" t="s">
        <v>22</v>
      </c>
      <c r="C22" s="269" t="s">
        <v>27</v>
      </c>
      <c r="D22" s="270"/>
      <c r="E22" s="4">
        <f>E23+E24+E25+E26+SUMIF($J$4:$S$4,$T$4, J22:U22)+SUMIF($J$4:$S$4, $V$4, J22:U22)+SUMIF($J$4:$S$4, $X$4, J22:U22)</f>
        <v>0</v>
      </c>
      <c r="F22" s="139" t="s">
        <v>124</v>
      </c>
      <c r="G22" s="129">
        <f>E22+SUMIF($J$4:$S$4,$U$4, J22:S22)+SUMIF($J$4:$S$4,$U$4, J23:S23)-SUMIF($J$4:$S$4, $V$4, J22:S22)-SUMIF($J$4:$S$4, $V$4, J23:S23)+SUMIF($J$4:$S$4,$W$4, J22:S22)+SUMIF($J$4:$S$4,$W$4, J23:S23)+SUMIF($J$4:$S$4,$U$4, J24:S24)-SUMIF($J$4:$S$4, $V$4, J24:S24)+SUMIF($J$4:$S$4,$W$4, J24:S24)+SUMIF($J$4:$S$4,$U$4, J25:S25)-SUMIF($J$4:$S$4, $V$4, J25:S25)+SUMIF($J$4:$S$4,$W$4, J25:S25)+SUMIF($J$4:$S$4,$U$4, J26:S26)-SUMIF($J$4:$S$4, $V$4, J26:S26)+SUMIF($J$4:$S$4,$W$4, J26:S26)-SUMIF($J$4:$S$4, $X$4, J22:S22)-SUMIF($J$4:$S$4, $X$4, J23:S23)-SUMIF($J$4:$S$4, $X$4, J24:S24)-SUMIF($J$4:$S$4, $X$4, J25:S25)-SUMIF($J$4:$S$4, $X$4, J26:S26)</f>
        <v>0</v>
      </c>
      <c r="H22" s="20">
        <f>G22-E22</f>
        <v>0</v>
      </c>
      <c r="I22" s="148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38.450000000000003" customHeight="1" thickBot="1">
      <c r="A23" s="272"/>
      <c r="B23" s="267"/>
      <c r="C23" s="269" t="s">
        <v>28</v>
      </c>
      <c r="D23" s="270"/>
      <c r="E23" s="4">
        <f t="shared" ref="E23:E34" si="4">SUMIF($J$4:$S$4,$T$4, J23:U23)+SUMIF($J$4:$S$4, $V$4, J23:U23)+SUMIF($J$4:$S$4, $X$4, J23:U23)</f>
        <v>0</v>
      </c>
      <c r="F23" s="140"/>
      <c r="G23" s="129">
        <f t="shared" ref="G23:G34" si="5">E23+SUMIF($J$4:$S$4,$U$4, J23:S23)-SUMIF($J$4:$S$4, $V$4, J23:S23)+SUMIF($J$4:$S$4,$W$4, J23:S23)-SUMIF($J$4:$S$4, $X$4, J23:S23)</f>
        <v>0</v>
      </c>
      <c r="H23" s="20">
        <f t="shared" ref="H23:H46" si="6">G23-E23</f>
        <v>0</v>
      </c>
      <c r="I23" s="148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38.450000000000003" hidden="1" customHeight="1" thickBot="1">
      <c r="A24" s="272"/>
      <c r="B24" s="267"/>
      <c r="C24" s="301" t="s">
        <v>78</v>
      </c>
      <c r="D24" s="302"/>
      <c r="E24" s="4">
        <f t="shared" si="4"/>
        <v>0</v>
      </c>
      <c r="F24" s="140"/>
      <c r="G24" s="129">
        <f t="shared" si="5"/>
        <v>0</v>
      </c>
      <c r="H24" s="20">
        <f t="shared" si="6"/>
        <v>0</v>
      </c>
      <c r="I24" s="148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38.450000000000003" hidden="1" customHeight="1" thickBot="1">
      <c r="A25" s="272"/>
      <c r="B25" s="267"/>
      <c r="C25" s="269" t="s">
        <v>76</v>
      </c>
      <c r="D25" s="270"/>
      <c r="E25" s="4">
        <f t="shared" si="4"/>
        <v>0</v>
      </c>
      <c r="F25" s="140"/>
      <c r="G25" s="129">
        <f t="shared" si="5"/>
        <v>0</v>
      </c>
      <c r="H25" s="20">
        <f t="shared" si="6"/>
        <v>0</v>
      </c>
      <c r="I25" s="148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s="1" customFormat="1" ht="38.450000000000003" hidden="1" customHeight="1" thickBot="1">
      <c r="A26" s="272"/>
      <c r="B26" s="267"/>
      <c r="C26" s="299" t="s">
        <v>114</v>
      </c>
      <c r="D26" s="300"/>
      <c r="E26" s="4">
        <f t="shared" si="4"/>
        <v>0</v>
      </c>
      <c r="F26" s="140"/>
      <c r="G26" s="129">
        <f t="shared" si="5"/>
        <v>0</v>
      </c>
      <c r="H26" s="20">
        <f t="shared" si="6"/>
        <v>0</v>
      </c>
      <c r="I26" s="148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38.450000000000003" hidden="1" customHeight="1" thickBot="1">
      <c r="A27" s="272"/>
      <c r="B27" s="267"/>
      <c r="C27" s="297" t="s">
        <v>77</v>
      </c>
      <c r="D27" s="298"/>
      <c r="E27" s="4">
        <f t="shared" si="4"/>
        <v>0</v>
      </c>
      <c r="F27" s="140"/>
      <c r="G27" s="129">
        <f t="shared" si="5"/>
        <v>0</v>
      </c>
      <c r="H27" s="20">
        <f t="shared" si="6"/>
        <v>0</v>
      </c>
      <c r="I27" s="148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38.450000000000003" customHeight="1" thickBot="1">
      <c r="A28" s="272"/>
      <c r="B28" s="267"/>
      <c r="C28" s="297" t="s">
        <v>29</v>
      </c>
      <c r="D28" s="298"/>
      <c r="E28" s="4">
        <f t="shared" si="4"/>
        <v>0</v>
      </c>
      <c r="F28" s="140"/>
      <c r="G28" s="129">
        <f t="shared" si="5"/>
        <v>0</v>
      </c>
      <c r="H28" s="20">
        <f t="shared" si="6"/>
        <v>0</v>
      </c>
      <c r="I28" s="148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38.450000000000003" customHeight="1" thickBot="1">
      <c r="A29" s="272"/>
      <c r="B29" s="267"/>
      <c r="C29" s="180" t="s">
        <v>13</v>
      </c>
      <c r="D29" s="181"/>
      <c r="E29" s="4">
        <f t="shared" si="4"/>
        <v>0</v>
      </c>
      <c r="F29" s="140"/>
      <c r="G29" s="129">
        <f t="shared" si="5"/>
        <v>0</v>
      </c>
      <c r="H29" s="20">
        <f t="shared" si="6"/>
        <v>0</v>
      </c>
      <c r="I29" s="148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38.450000000000003" customHeight="1" thickBot="1">
      <c r="A30" s="272"/>
      <c r="B30" s="267"/>
      <c r="C30" s="212" t="s">
        <v>192</v>
      </c>
      <c r="D30" s="213"/>
      <c r="E30" s="4">
        <f t="shared" si="4"/>
        <v>0</v>
      </c>
      <c r="F30" s="140"/>
      <c r="G30" s="129">
        <f t="shared" si="5"/>
        <v>0</v>
      </c>
      <c r="H30" s="20">
        <f t="shared" si="6"/>
        <v>0</v>
      </c>
      <c r="I30" s="148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38.450000000000003" customHeight="1" thickBot="1">
      <c r="A31" s="272"/>
      <c r="B31" s="267"/>
      <c r="C31" s="180" t="s">
        <v>190</v>
      </c>
      <c r="D31" s="181"/>
      <c r="E31" s="4">
        <f t="shared" si="4"/>
        <v>0</v>
      </c>
      <c r="F31" s="140"/>
      <c r="G31" s="129">
        <f t="shared" si="5"/>
        <v>0</v>
      </c>
      <c r="H31" s="20">
        <f t="shared" si="6"/>
        <v>0</v>
      </c>
      <c r="I31" s="148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38.450000000000003" customHeight="1" thickBot="1">
      <c r="A32" s="272"/>
      <c r="B32" s="268"/>
      <c r="C32" s="295" t="s">
        <v>30</v>
      </c>
      <c r="D32" s="296"/>
      <c r="E32" s="4">
        <f t="shared" si="4"/>
        <v>0</v>
      </c>
      <c r="F32" s="140"/>
      <c r="G32" s="129">
        <f t="shared" si="5"/>
        <v>0</v>
      </c>
      <c r="H32" s="20">
        <f t="shared" si="6"/>
        <v>0</v>
      </c>
      <c r="I32" s="148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38.450000000000003" customHeight="1" thickBot="1">
      <c r="A33" s="272"/>
      <c r="B33" s="266" t="s">
        <v>23</v>
      </c>
      <c r="C33" s="269" t="s">
        <v>24</v>
      </c>
      <c r="D33" s="270"/>
      <c r="E33" s="4">
        <f t="shared" si="4"/>
        <v>0</v>
      </c>
      <c r="F33" s="140"/>
      <c r="G33" s="129">
        <f t="shared" si="5"/>
        <v>0</v>
      </c>
      <c r="H33" s="20">
        <f t="shared" si="6"/>
        <v>0</v>
      </c>
      <c r="I33" s="148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38.450000000000003" customHeight="1" thickBot="1">
      <c r="A34" s="272"/>
      <c r="B34" s="267"/>
      <c r="C34" s="269" t="s">
        <v>25</v>
      </c>
      <c r="D34" s="270"/>
      <c r="E34" s="4">
        <f t="shared" si="4"/>
        <v>0</v>
      </c>
      <c r="F34" s="140"/>
      <c r="G34" s="129">
        <f t="shared" si="5"/>
        <v>0</v>
      </c>
      <c r="H34" s="20">
        <f t="shared" si="6"/>
        <v>0</v>
      </c>
      <c r="I34" s="148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38.450000000000003" customHeight="1" thickBot="1">
      <c r="A35" s="272"/>
      <c r="B35" s="267"/>
      <c r="C35" s="269" t="s">
        <v>26</v>
      </c>
      <c r="D35" s="270"/>
      <c r="E35" s="4">
        <f>E34+SUMIF($J$4:$S$4,$T$4, J35:U35)+SUMIF($J$4:$S$4, $V$4, J35:U35)+SUMIF($J$4:$S$4, $X$4, J35:U35)</f>
        <v>0</v>
      </c>
      <c r="F35" s="140"/>
      <c r="G35" s="129">
        <f>E35+SUMIF($J$4:$S$4,$U$4, J35:S35)+SUMIF($J$4:$S$4,$U$4, J34:S34)-SUMIF($J$4:$S$4, $V$4, J35:S35)-SUMIF($J$4:$S$4, $V$4, J34:S34)+SUMIF($J$4:$S$4,$W$4, J35:S35)+SUMIF($J$4:$S$4,$W$4, J34:S34)-SUMIF($J$4:$S$4, $X$4, J35:S35)-SUMIF($J$4:$S$4, $X$4, J34:S34)</f>
        <v>0</v>
      </c>
      <c r="H35" s="20">
        <f t="shared" si="6"/>
        <v>0</v>
      </c>
      <c r="I35" s="148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38.450000000000003" hidden="1" customHeight="1" thickBot="1">
      <c r="A36" s="272"/>
      <c r="B36" s="267"/>
      <c r="C36" s="269" t="s">
        <v>115</v>
      </c>
      <c r="D36" s="270"/>
      <c r="E36" s="4">
        <f>E35+SUMIF($J$4:$S$4,$T$4, J36:U36)+SUMIF($J$4:$S$4, $V$4, J36:U36)+SUMIF($J$4:$S$4, $X$4, J36:U36)</f>
        <v>0</v>
      </c>
      <c r="F36" s="140"/>
      <c r="G36" s="129">
        <f>E36+SUMIF($J$4:$S$4,$U$4, J36:S36)+SUMIF($J$4:$S$4,$U$4, J35:S35)+SUMIF($J$4:$S$4,$U$4, J34:S34)-SUMIF($J$4:$S$4, $V$4, J36:S36)-SUMIF($J$4:$S$4, $V$4, J35:S35)-SUMIF($J$4:$S$4, $V$4, J34:S34)+SUMIF($J$4:$S$4,$W$4, J36:S36)+SUMIF($J$4:$S$4,$W$4, J35:S35)+SUMIF($J$4:$S$4,$W$4, J34:S34)-SUMIF($J$4:$S$4, $X$4, J36:S36)-SUMIF($J$4:$S$4, $X$4, J35:S35)-SUMIF($J$4:$S$4, $X$4, J34:S34)</f>
        <v>0</v>
      </c>
      <c r="H36" s="20">
        <f t="shared" si="6"/>
        <v>0</v>
      </c>
      <c r="I36" s="148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38.450000000000003" customHeight="1" thickBot="1">
      <c r="A37" s="272"/>
      <c r="B37" s="267"/>
      <c r="C37" s="151" t="s">
        <v>13</v>
      </c>
      <c r="D37" s="151"/>
      <c r="E37" s="4">
        <f>SUMIF($J$4:$S$4,$T$4, J37:U37)+SUMIF($J$4:$S$4, $V$4, J37:U37)+SUMIF($J$4:$S$4, $X$4, J37:U37)</f>
        <v>0</v>
      </c>
      <c r="F37" s="140"/>
      <c r="G37" s="129">
        <f>E37+SUMIF($J$4:$S$4,$U$4, J37:S37)-SUMIF($J$4:$S$4, $V$4, J37:S37)+SUMIF($J$4:$S$4,$W$4, J37:S37)-SUMIF($J$4:$S$4, $X$4, J37:S37)</f>
        <v>0</v>
      </c>
      <c r="H37" s="20">
        <f t="shared" si="6"/>
        <v>0</v>
      </c>
      <c r="I37" s="148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38.450000000000003" customHeight="1" thickBot="1">
      <c r="A38" s="272"/>
      <c r="B38" s="267"/>
      <c r="C38" s="151" t="s">
        <v>191</v>
      </c>
      <c r="D38" s="151"/>
      <c r="E38" s="4">
        <f>SUMIF($J$4:$S$4,$T$4, J38:U38)+SUMIF($J$4:$S$4, $V$4, J38:U38)+SUMIF($J$4:$S$4, $X$4, J38:U38)</f>
        <v>0</v>
      </c>
      <c r="F38" s="140"/>
      <c r="G38" s="129">
        <f>E38+SUMIF($J$4:$S$4,$U$4, J38:S38)-SUMIF($J$4:$S$4, $V$4, J38:S38)+SUMIF($J$4:$S$4,$W$4, J38:S38)-SUMIF($J$4:$S$4, $X$4, J38:S38)</f>
        <v>0</v>
      </c>
      <c r="H38" s="20">
        <f t="shared" si="6"/>
        <v>0</v>
      </c>
      <c r="I38" s="148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38.450000000000003" customHeight="1" thickBot="1">
      <c r="A39" s="272"/>
      <c r="B39" s="268"/>
      <c r="C39" s="151" t="s">
        <v>30</v>
      </c>
      <c r="D39" s="151"/>
      <c r="E39" s="4">
        <f>SUMIF($J$4:$S$4,$T$4, J39:U39)+SUMIF($J$4:$S$4, $V$4, J39:U39)+SUMIF($J$4:$S$4, $X$4, J39:U39)</f>
        <v>0</v>
      </c>
      <c r="F39" s="140"/>
      <c r="G39" s="129">
        <f>E39+SUMIF($J$4:$S$4,$U$4, J39:S39)-SUMIF($J$4:$S$4, $V$4, J39:S39)+SUMIF($J$4:$S$4,$W$4, J39:S39)-SUMIF($J$4:$S$4, $X$4, J39:S39)</f>
        <v>0</v>
      </c>
      <c r="H39" s="20">
        <f t="shared" si="6"/>
        <v>0</v>
      </c>
      <c r="I39" s="148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38.450000000000003" customHeight="1" thickBot="1">
      <c r="A40" s="272"/>
      <c r="B40" s="266" t="s">
        <v>31</v>
      </c>
      <c r="C40" s="149" t="s">
        <v>32</v>
      </c>
      <c r="D40" s="149"/>
      <c r="E40" s="4">
        <f>SUMIF($J$4:$S$4,$T$4, J40:U40)+SUMIF($J$4:$S$4, $V$4, J40:U40)+SUMIF($J$4:$S$4, $X$4, J40:U40)</f>
        <v>0</v>
      </c>
      <c r="F40" s="140"/>
      <c r="G40" s="129">
        <f>E40+SUMIF($J$4:$S$4,$U$4, J40:S40)-SUMIF($J$4:$S$4, $V$4, J40:S40)+SUMIF($J$4:$S$4,$W$4, J40:S40)-SUMIF($J$4:$S$4, $X$4, J40:S40)</f>
        <v>0</v>
      </c>
      <c r="H40" s="20">
        <f t="shared" si="6"/>
        <v>0</v>
      </c>
      <c r="I40" s="148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38.450000000000003" customHeight="1" thickBot="1">
      <c r="A41" s="272"/>
      <c r="B41" s="267"/>
      <c r="C41" s="187" t="s">
        <v>33</v>
      </c>
      <c r="D41" s="188"/>
      <c r="E41" s="4">
        <f>E40+SUMIF($J$4:$S$4,$T$4, J41:U41)+SUMIF($J$4:$S$4, $V$4, J41:U41)+SUMIF($J$4:$S$4, $X$4, J41:U41)</f>
        <v>0</v>
      </c>
      <c r="F41" s="140"/>
      <c r="G41" s="129">
        <f>E41+SUMIF($J$4:$S$4,$U$4, J41:S41)+SUMIF($J$4:$S$4,$U$4, J40:S40)-SUMIF($J$4:$S$4, $V$4, J41:S41)-SUMIF($J$4:$S$4, $V$4, J40:S40)+SUMIF($J$4:$S$4,$W$4, J41:S41)+SUMIF($J$4:$S$4,$W$4, J40:S40)-SUMIF($J$4:$S$4, $X$4, J41:S41)-SUMIF($J$4:$S$4, $X$4, J40:S40)</f>
        <v>0</v>
      </c>
      <c r="H41" s="20">
        <f t="shared" si="6"/>
        <v>0</v>
      </c>
      <c r="I41" s="148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38.450000000000003" customHeight="1" thickBot="1">
      <c r="A42" s="272"/>
      <c r="B42" s="267"/>
      <c r="C42" s="187" t="s">
        <v>34</v>
      </c>
      <c r="D42" s="188"/>
      <c r="E42" s="4">
        <f>E41+SUMIF($J$4:$S$4,$T$4, J42:U42)+SUMIF($J$4:$S$4, $V$4, J42:U42)+SUMIF($J$4:$S$4, $X$4, J42:U42)</f>
        <v>0</v>
      </c>
      <c r="F42" s="140"/>
      <c r="G42" s="129">
        <f>E42+SUMIF($J$4:$S$4,$U$4, J42:S42)+SUMIF($J$4:$S$4,$U$4, J41:S41)+SUMIF($J$4:$S$4,$U$4, J40:S40)-SUMIF($J$4:$S$4, $V$4, J42:S42)-SUMIF($J$4:$S$4, $V$4, J41:S41)-SUMIF($J$4:$S$4, $V$4, J40:S40)+SUMIF($J$4:$S$4,$W$4, J42:S42)+SUMIF($J$4:$S$4,$W$4, J41:S41)+SUMIF($J$4:$S$4,$W$4, J40:S40)-SUMIF($J$4:$S$4, $X$4, J42:S42)-SUMIF($J$4:$S$4, $X$4, J41:S41)-SUMIF($J$4:$S$4, $X$4, J40:S40)</f>
        <v>0</v>
      </c>
      <c r="H42" s="20">
        <f t="shared" si="6"/>
        <v>0</v>
      </c>
      <c r="I42" s="148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38.450000000000003" hidden="1" customHeight="1" thickBot="1">
      <c r="A43" s="272"/>
      <c r="B43" s="267"/>
      <c r="C43" s="187" t="s">
        <v>116</v>
      </c>
      <c r="D43" s="188"/>
      <c r="E43" s="4">
        <f>E42+SUMIF($J$4:$S$4,$T$4, J43:U43)+SUMIF($J$4:$S$4, $V$4, J43:U43)+SUMIF($J$4:$S$4, $X$4, J43:U43)</f>
        <v>0</v>
      </c>
      <c r="F43" s="140"/>
      <c r="G43" s="129">
        <f>E43+SUMIF($J$4:$S$4,$U$4, J43:S43)+SUMIF($J$4:$S$4,$U$4, J42:S42)+SUMIF($J$4:$S$4,$U$4, J41:S41)+SUMIF($J$4:$S$4,$U$4, J40:S40)-SUMIF($J$4:$S$4, $V$4, J43:S43)-SUMIF($J$4:$S$4, $V$4, J42:S42)-SUMIF($J$4:$S$4, $V$4, J41:S41)-SUMIF($J$4:$S$4, $V$4, J40:S40)+SUMIF($J$4:$S$4,$W$4, J43:S43)+SUMIF($J$4:$S$4,$W$4, J42:S42)+SUMIF($J$4:$S$4,$W$4, J41:S41)+SUMIF($J$4:$S$4,$W$4, J40:S40)-SUMIF($J$4:$S$4, $X$4, J43:S43)-SUMIF($J$4:$S$4, $X$4, J42:S42)-SUMIF($J$4:$S$4, $X$4, J41:S41)-SUMIF($J$4:$S$4, $X$4, J40:S40)</f>
        <v>0</v>
      </c>
      <c r="H43" s="20">
        <f t="shared" si="6"/>
        <v>0</v>
      </c>
      <c r="I43" s="148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38.450000000000003" customHeight="1" thickBot="1">
      <c r="A44" s="272"/>
      <c r="B44" s="267"/>
      <c r="C44" s="151" t="s">
        <v>13</v>
      </c>
      <c r="D44" s="151"/>
      <c r="E44" s="4">
        <f>SUMIF($J$4:$S$4,$T$4, J44:U44)+SUMIF($J$4:$S$4, $V$4, J44:U44)+SUMIF($J$4:$S$4, $X$4, J44:U44)</f>
        <v>0</v>
      </c>
      <c r="F44" s="140"/>
      <c r="G44" s="129">
        <f>E44+SUMIF($J$4:$S$4,$U$4, J44:S44)-SUMIF($J$4:$S$4, $V$4, J44:S44)+SUMIF($J$4:$S$4,$W$4, J44:S44)-SUMIF($J$4:$S$4, $X$4, J44:S44)</f>
        <v>0</v>
      </c>
      <c r="H44" s="20">
        <f t="shared" si="6"/>
        <v>0</v>
      </c>
      <c r="I44" s="148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38.450000000000003" customHeight="1" thickBot="1">
      <c r="A45" s="272"/>
      <c r="B45" s="267"/>
      <c r="C45" s="151" t="s">
        <v>191</v>
      </c>
      <c r="D45" s="151"/>
      <c r="E45" s="4">
        <f>SUMIF($J$4:$S$4,$T$4, J45:U45)+SUMIF($J$4:$S$4, $V$4, J45:U45)+SUMIF($J$4:$S$4, $X$4, J45:U45)</f>
        <v>0</v>
      </c>
      <c r="F45" s="140"/>
      <c r="G45" s="129">
        <f>E45+SUMIF($J$4:$S$4,$U$4, J45:S45)-SUMIF($J$4:$S$4, $V$4, J45:S45)+SUMIF($J$4:$S$4,$W$4, J45:S45)-SUMIF($J$4:$S$4, $X$4, J45:S45)</f>
        <v>0</v>
      </c>
      <c r="H45" s="20">
        <f t="shared" si="6"/>
        <v>0</v>
      </c>
      <c r="I45" s="148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38.450000000000003" customHeight="1" thickBot="1">
      <c r="A46" s="273"/>
      <c r="B46" s="268"/>
      <c r="C46" s="151" t="s">
        <v>30</v>
      </c>
      <c r="D46" s="151"/>
      <c r="E46" s="4">
        <f>SUMIF($J$4:$S$4,$T$4, J46:U46)+SUMIF($J$4:$S$4, $V$4, J46:U46)+SUMIF($J$4:$S$4, $X$4, J46:U46)</f>
        <v>0</v>
      </c>
      <c r="F46" s="141"/>
      <c r="G46" s="129">
        <f>E46+SUMIF($J$4:$S$4,$U$4, J46:S46)-SUMIF($J$4:$S$4, $V$4, J46:S46)+SUMIF($J$4:$S$4,$W$4, J46:S46)-SUMIF($J$4:$S$4, $X$4, J46:S46)</f>
        <v>0</v>
      </c>
      <c r="H46" s="20">
        <f t="shared" si="6"/>
        <v>0</v>
      </c>
      <c r="I46" s="148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3.5" customHeight="1" thickBot="1">
      <c r="A47" s="59"/>
      <c r="B47" s="59"/>
      <c r="C47" s="59"/>
      <c r="D47" s="59"/>
      <c r="E47" s="59"/>
      <c r="F47" s="59"/>
      <c r="G47" s="130"/>
      <c r="H47" s="59"/>
      <c r="I47" s="59"/>
      <c r="J47" s="57"/>
      <c r="K47" s="57"/>
      <c r="L47" s="57"/>
      <c r="M47" s="57"/>
      <c r="N47" s="57"/>
      <c r="O47" s="57"/>
      <c r="P47" s="57"/>
      <c r="Q47" s="57"/>
      <c r="R47" s="57"/>
      <c r="S47" s="57"/>
    </row>
    <row r="48" spans="1:19" ht="38.450000000000003" customHeight="1" thickBot="1">
      <c r="A48" s="235" t="s">
        <v>36</v>
      </c>
      <c r="B48" s="274" t="s">
        <v>37</v>
      </c>
      <c r="C48" s="161" t="s">
        <v>13</v>
      </c>
      <c r="D48" s="162"/>
      <c r="E48" s="4">
        <f t="shared" ref="E48:E58" si="7">SUMIF($J$4:$S$4,$T$4, J48:U48)+SUMIF($J$4:$S$4, $V$4, J48:U48)+SUMIF($J$4:$S$4, $X$4, J48:U48)</f>
        <v>0</v>
      </c>
      <c r="F48" s="139" t="s">
        <v>124</v>
      </c>
      <c r="G48" s="129">
        <f t="shared" ref="G48:G58" si="8">E48+SUMIF($J$4:$S$4,$U$4, J48:S48)-SUMIF($J$4:$S$4, $V$4, J48:S48)+SUMIF($J$4:$S$4,$W$4, J48:S48)-SUMIF($J$4:$S$4, $X$4, J48:S48)</f>
        <v>0</v>
      </c>
      <c r="H48" s="20">
        <f t="shared" ref="H48:H76" si="9">G48-E48</f>
        <v>0</v>
      </c>
      <c r="I48" s="148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38.450000000000003" hidden="1" customHeight="1" thickBot="1">
      <c r="A49" s="236"/>
      <c r="B49" s="275"/>
      <c r="C49" s="161" t="s">
        <v>121</v>
      </c>
      <c r="D49" s="162"/>
      <c r="E49" s="4">
        <f t="shared" si="7"/>
        <v>0</v>
      </c>
      <c r="F49" s="140"/>
      <c r="G49" s="129">
        <f t="shared" si="8"/>
        <v>0</v>
      </c>
      <c r="H49" s="20">
        <f t="shared" si="9"/>
        <v>0</v>
      </c>
      <c r="I49" s="148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38.450000000000003" customHeight="1" thickBot="1">
      <c r="A50" s="236"/>
      <c r="B50" s="275"/>
      <c r="C50" s="161" t="s">
        <v>179</v>
      </c>
      <c r="D50" s="162"/>
      <c r="E50" s="4">
        <f t="shared" si="7"/>
        <v>0</v>
      </c>
      <c r="F50" s="140"/>
      <c r="G50" s="129">
        <f t="shared" si="8"/>
        <v>0</v>
      </c>
      <c r="H50" s="20">
        <f t="shared" ref="H50" si="10">G50-E50</f>
        <v>0</v>
      </c>
      <c r="I50" s="148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38.450000000000003" hidden="1" customHeight="1" thickBot="1">
      <c r="A51" s="236"/>
      <c r="B51" s="276"/>
      <c r="C51" s="161" t="s">
        <v>122</v>
      </c>
      <c r="D51" s="162"/>
      <c r="E51" s="4">
        <f t="shared" si="7"/>
        <v>0</v>
      </c>
      <c r="F51" s="140"/>
      <c r="G51" s="129">
        <f t="shared" si="8"/>
        <v>0</v>
      </c>
      <c r="H51" s="20">
        <f t="shared" si="9"/>
        <v>0</v>
      </c>
      <c r="I51" s="148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38.450000000000003" customHeight="1" thickBot="1">
      <c r="A52" s="236"/>
      <c r="B52" s="274" t="s">
        <v>38</v>
      </c>
      <c r="C52" s="161" t="s">
        <v>13</v>
      </c>
      <c r="D52" s="162"/>
      <c r="E52" s="4">
        <f t="shared" si="7"/>
        <v>0</v>
      </c>
      <c r="F52" s="140"/>
      <c r="G52" s="129">
        <f t="shared" si="8"/>
        <v>0</v>
      </c>
      <c r="H52" s="20">
        <f t="shared" si="9"/>
        <v>0</v>
      </c>
      <c r="I52" s="148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38.450000000000003" hidden="1" customHeight="1" thickBot="1">
      <c r="A53" s="236"/>
      <c r="B53" s="275"/>
      <c r="C53" s="161" t="s">
        <v>121</v>
      </c>
      <c r="D53" s="162"/>
      <c r="E53" s="4">
        <f t="shared" si="7"/>
        <v>0</v>
      </c>
      <c r="F53" s="140"/>
      <c r="G53" s="129">
        <f t="shared" si="8"/>
        <v>0</v>
      </c>
      <c r="H53" s="20">
        <f t="shared" si="9"/>
        <v>0</v>
      </c>
      <c r="I53" s="148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38.450000000000003" customHeight="1" thickBot="1">
      <c r="A54" s="236"/>
      <c r="B54" s="275"/>
      <c r="C54" s="161" t="s">
        <v>179</v>
      </c>
      <c r="D54" s="162"/>
      <c r="E54" s="4">
        <f t="shared" si="7"/>
        <v>0</v>
      </c>
      <c r="F54" s="140"/>
      <c r="G54" s="129">
        <f t="shared" si="8"/>
        <v>0</v>
      </c>
      <c r="H54" s="20">
        <f t="shared" ref="H54" si="11">G54-E54</f>
        <v>0</v>
      </c>
      <c r="I54" s="148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38.450000000000003" hidden="1" customHeight="1" thickBot="1">
      <c r="A55" s="236"/>
      <c r="B55" s="275"/>
      <c r="C55" s="161" t="s">
        <v>122</v>
      </c>
      <c r="D55" s="162"/>
      <c r="E55" s="4">
        <f t="shared" si="7"/>
        <v>0</v>
      </c>
      <c r="F55" s="140"/>
      <c r="G55" s="129">
        <f t="shared" si="8"/>
        <v>0</v>
      </c>
      <c r="H55" s="20">
        <f t="shared" si="9"/>
        <v>0</v>
      </c>
      <c r="I55" s="148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38.450000000000003" customHeight="1" thickBot="1">
      <c r="A56" s="237"/>
      <c r="B56" s="276"/>
      <c r="C56" s="161" t="s">
        <v>39</v>
      </c>
      <c r="D56" s="162"/>
      <c r="E56" s="4">
        <f t="shared" si="7"/>
        <v>0</v>
      </c>
      <c r="F56" s="140"/>
      <c r="G56" s="129">
        <f t="shared" si="8"/>
        <v>0</v>
      </c>
      <c r="H56" s="20">
        <f t="shared" si="9"/>
        <v>0</v>
      </c>
      <c r="I56" s="148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38.450000000000003" customHeight="1" thickBot="1">
      <c r="A57" s="291" t="s">
        <v>14</v>
      </c>
      <c r="B57" s="284" t="s">
        <v>40</v>
      </c>
      <c r="C57" s="285"/>
      <c r="D57" s="286"/>
      <c r="E57" s="4">
        <f t="shared" si="7"/>
        <v>0</v>
      </c>
      <c r="F57" s="140"/>
      <c r="G57" s="129">
        <f t="shared" si="8"/>
        <v>0</v>
      </c>
      <c r="H57" s="20">
        <f t="shared" si="9"/>
        <v>0</v>
      </c>
      <c r="I57" s="148"/>
      <c r="J57" s="138"/>
      <c r="K57" s="138"/>
      <c r="L57" s="138"/>
      <c r="M57" s="138"/>
      <c r="N57" s="138"/>
      <c r="O57" s="138"/>
      <c r="P57" s="138"/>
      <c r="Q57" s="138"/>
      <c r="R57" s="138"/>
      <c r="S57" s="138"/>
    </row>
    <row r="58" spans="1:19" ht="38.450000000000003" customHeight="1" thickBot="1">
      <c r="A58" s="292"/>
      <c r="B58" s="284" t="s">
        <v>15</v>
      </c>
      <c r="C58" s="285"/>
      <c r="D58" s="286"/>
      <c r="E58" s="4">
        <f t="shared" si="7"/>
        <v>0</v>
      </c>
      <c r="F58" s="141"/>
      <c r="G58" s="129">
        <f t="shared" si="8"/>
        <v>0</v>
      </c>
      <c r="H58" s="20">
        <f t="shared" si="9"/>
        <v>0</v>
      </c>
      <c r="I58" s="148"/>
      <c r="J58" s="138"/>
      <c r="K58" s="138"/>
      <c r="L58" s="138"/>
      <c r="M58" s="138"/>
      <c r="N58" s="138"/>
      <c r="O58" s="138"/>
      <c r="P58" s="138"/>
      <c r="Q58" s="138"/>
      <c r="R58" s="138"/>
      <c r="S58" s="138"/>
    </row>
    <row r="59" spans="1:19" ht="34.5" customHeight="1" thickBot="1">
      <c r="A59" s="60"/>
      <c r="B59" s="60"/>
      <c r="C59" s="60"/>
      <c r="D59" s="60"/>
      <c r="E59" s="60"/>
      <c r="F59" s="60"/>
      <c r="G59" s="60"/>
      <c r="H59" s="60"/>
      <c r="I59" s="60"/>
      <c r="J59" s="58"/>
      <c r="K59" s="58"/>
      <c r="L59" s="58"/>
      <c r="M59" s="58"/>
      <c r="N59" s="58"/>
      <c r="O59" s="58"/>
      <c r="P59" s="58"/>
      <c r="Q59" s="58"/>
      <c r="R59" s="58"/>
      <c r="S59" s="58"/>
    </row>
    <row r="60" spans="1:19" ht="38.450000000000003" customHeight="1" thickBot="1">
      <c r="A60" s="277" t="s">
        <v>41</v>
      </c>
      <c r="B60" s="244" t="s">
        <v>42</v>
      </c>
      <c r="C60" s="245"/>
      <c r="D60" s="246"/>
      <c r="E60" s="4">
        <f t="shared" ref="E60:E66" si="12">SUMIF($J$4:$S$4,$T$4, J60:U60)+SUMIF($J$4:$S$4, $V$4, J60:U60)+SUMIF($J$4:$S$4, $X$4, J60:U60)</f>
        <v>0</v>
      </c>
      <c r="F60" s="139" t="s">
        <v>124</v>
      </c>
      <c r="G60" s="129">
        <f t="shared" ref="G60:G66" si="13">E60+SUMIF($J$4:$S$4,$U$4, J60:S60)-SUMIF($J$4:$S$4, $V$4, J60:S60)+SUMIF($J$4:$S$4,$W$4, J60:S60)-SUMIF($J$4:$S$4, $X$4, J60:S60)</f>
        <v>0</v>
      </c>
      <c r="H60" s="20">
        <f t="shared" si="9"/>
        <v>0</v>
      </c>
      <c r="I60" s="148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38.450000000000003" customHeight="1" thickBot="1">
      <c r="A61" s="278"/>
      <c r="B61" s="244" t="s">
        <v>43</v>
      </c>
      <c r="C61" s="245"/>
      <c r="D61" s="246"/>
      <c r="E61" s="4">
        <f t="shared" si="12"/>
        <v>0</v>
      </c>
      <c r="F61" s="140"/>
      <c r="G61" s="129">
        <f t="shared" si="13"/>
        <v>0</v>
      </c>
      <c r="H61" s="20">
        <f t="shared" si="9"/>
        <v>0</v>
      </c>
      <c r="I61" s="148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38.450000000000003" customHeight="1" thickBot="1">
      <c r="A62" s="278"/>
      <c r="B62" s="244" t="s">
        <v>44</v>
      </c>
      <c r="C62" s="245"/>
      <c r="D62" s="246"/>
      <c r="E62" s="4">
        <f t="shared" si="12"/>
        <v>0</v>
      </c>
      <c r="F62" s="140"/>
      <c r="G62" s="129">
        <f t="shared" si="13"/>
        <v>0</v>
      </c>
      <c r="H62" s="20">
        <f t="shared" si="9"/>
        <v>0</v>
      </c>
      <c r="I62" s="148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38.450000000000003" customHeight="1" thickBot="1">
      <c r="A63" s="279"/>
      <c r="B63" s="244" t="s">
        <v>45</v>
      </c>
      <c r="C63" s="245"/>
      <c r="D63" s="246"/>
      <c r="E63" s="4">
        <f t="shared" si="12"/>
        <v>0</v>
      </c>
      <c r="F63" s="140"/>
      <c r="G63" s="129">
        <f t="shared" si="13"/>
        <v>0</v>
      </c>
      <c r="H63" s="20">
        <f t="shared" si="9"/>
        <v>0</v>
      </c>
      <c r="I63" s="148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30" customHeight="1" thickBot="1">
      <c r="A64" s="247" t="s">
        <v>16</v>
      </c>
      <c r="B64" s="248"/>
      <c r="C64" s="248"/>
      <c r="D64" s="249"/>
      <c r="E64" s="4">
        <f t="shared" si="12"/>
        <v>0</v>
      </c>
      <c r="F64" s="140"/>
      <c r="G64" s="129">
        <f t="shared" si="13"/>
        <v>0</v>
      </c>
      <c r="H64" s="20">
        <f t="shared" si="9"/>
        <v>0</v>
      </c>
      <c r="I64" s="148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38.450000000000003" customHeight="1" thickBot="1">
      <c r="A65" s="250" t="s">
        <v>46</v>
      </c>
      <c r="B65" s="252" t="s">
        <v>12</v>
      </c>
      <c r="C65" s="253"/>
      <c r="D65" s="254"/>
      <c r="E65" s="4">
        <f t="shared" si="12"/>
        <v>0</v>
      </c>
      <c r="F65" s="140"/>
      <c r="G65" s="129">
        <f t="shared" si="13"/>
        <v>0</v>
      </c>
      <c r="H65" s="20">
        <f t="shared" si="9"/>
        <v>0</v>
      </c>
      <c r="I65" s="148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38.450000000000003" customHeight="1" thickBot="1">
      <c r="A66" s="251"/>
      <c r="B66" s="252" t="s">
        <v>11</v>
      </c>
      <c r="C66" s="253"/>
      <c r="D66" s="254"/>
      <c r="E66" s="4">
        <f t="shared" si="12"/>
        <v>0</v>
      </c>
      <c r="F66" s="141"/>
      <c r="G66" s="129">
        <f t="shared" si="13"/>
        <v>0</v>
      </c>
      <c r="H66" s="20">
        <f t="shared" si="9"/>
        <v>0</v>
      </c>
      <c r="I66" s="148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27" thickBot="1">
      <c r="G67" s="13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32.25" thickBot="1">
      <c r="A68" s="260" t="s">
        <v>47</v>
      </c>
      <c r="B68" s="241" t="s">
        <v>8</v>
      </c>
      <c r="C68" s="242"/>
      <c r="D68" s="243"/>
      <c r="E68" s="4">
        <f>SUMIF($J$4:$S$4,$T$4, J68:U68)+SUMIF($J$4:$S$4, $V$4, J68:U68)+SUMIF($J$4:$S$4, $X$4, J68:U68)</f>
        <v>0</v>
      </c>
      <c r="F68" s="139" t="s">
        <v>124</v>
      </c>
      <c r="G68" s="129">
        <f>E68+SUMIF($J$4:$S$4,$U$4, J68:S68)-SUMIF($J$4:$S$4, $V$4, J68:S68)+SUMIF($J$4:$S$4,$W$4, J68:S68)-SUMIF($J$4:$S$4, $X$4, J68:S68)</f>
        <v>0</v>
      </c>
      <c r="H68" s="20">
        <f t="shared" si="9"/>
        <v>0</v>
      </c>
      <c r="I68" s="169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32.25" hidden="1" thickBot="1">
      <c r="A69" s="261"/>
      <c r="B69" s="145" t="s">
        <v>153</v>
      </c>
      <c r="C69" s="146"/>
      <c r="D69" s="147"/>
      <c r="E69" s="4">
        <f>SUMIF($J$4:$S$4,$T$4, J69:U69)+SUMIF($J$4:$S$4, $V$4, J69:U69)+SUMIF($J$4:$S$4, $X$4, J69:U69)</f>
        <v>0</v>
      </c>
      <c r="F69" s="140"/>
      <c r="G69" s="129">
        <f>E69+SUMIF($J$4:$S$4,$U$4, J69:S69)-SUMIF($J$4:$S$4, $V$4, J69:S69)+SUMIF($J$4:$S$4,$W$4, J69:S69)-SUMIF($J$4:$S$4, $X$4, J69:S69)</f>
        <v>0</v>
      </c>
      <c r="H69" s="20"/>
      <c r="I69" s="169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32.25" hidden="1" thickBot="1">
      <c r="A70" s="261"/>
      <c r="B70" s="145" t="s">
        <v>154</v>
      </c>
      <c r="C70" s="146"/>
      <c r="D70" s="147"/>
      <c r="E70" s="4">
        <f>SUMIF($J$4:$S$4,$T$4, J70:U70)+SUMIF($J$4:$S$4, $V$4, J70:U70)+SUMIF($J$4:$S$4, $X$4, J70:U70)</f>
        <v>0</v>
      </c>
      <c r="F70" s="140"/>
      <c r="G70" s="129">
        <f>E70+SUMIF($J$4:$S$4,$U$4, J70:S70)-SUMIF($J$4:$S$4, $V$4, J70:S70)+SUMIF($J$4:$S$4,$W$4, J70:S70)-SUMIF($J$4:$S$4, $X$4, J70:S70)</f>
        <v>0</v>
      </c>
      <c r="H70" s="20"/>
      <c r="I70" s="169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32.25" thickBot="1">
      <c r="A71" s="261"/>
      <c r="B71" s="241" t="s">
        <v>9</v>
      </c>
      <c r="C71" s="242"/>
      <c r="D71" s="243"/>
      <c r="E71" s="4">
        <f>E68+SUMIF($J$4:$S$4,$T$4, J71:U71)+SUMIF($J$4:$S$4, $V$4, J71:U71)+SUMIF($J$4:$S$4, $X$4, J71:U71)</f>
        <v>0</v>
      </c>
      <c r="F71" s="140"/>
      <c r="G71" s="129">
        <f>E71+SUMIF($J$4:$S$4,$U$4, J71:S71)+SUMIF($J$4:$S$4,$U$4, J68:S68)-SUMIF($J$4:$S$4, $V$4, J71:S71)-SUMIF($J$4:$S$4, $V$4, J68:S68)+SUMIF($J$4:$S$4,$W$4, J71:S71)+SUMIF($J$4:$S$4,$W$4, J68:S68)-SUMIF($J$4:$S$4, $X$4, J71:S71)-SUMIF($J$4:$S$4, $X$4, J68:S68)</f>
        <v>0</v>
      </c>
      <c r="H71" s="20">
        <f t="shared" si="9"/>
        <v>0</v>
      </c>
      <c r="I71" s="169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32.25" thickBot="1">
      <c r="A72" s="262"/>
      <c r="B72" s="241" t="s">
        <v>10</v>
      </c>
      <c r="C72" s="242"/>
      <c r="D72" s="243"/>
      <c r="E72" s="4">
        <f>E68+SUMIF($J$4:$S$4,$T$4, J72:U72)+SUMIF($J$4:$S$4, $V$4, J72:U72)+SUMIF($J$4:$S$4, $X$4, J72:U72)</f>
        <v>0</v>
      </c>
      <c r="F72" s="141"/>
      <c r="G72" s="129">
        <f>E72+SUMIF($J$4:$S$4,$U$4, J72:S72)+SUMIF($J$4:$S$4,$U$4, J68:S68)-SUMIF($J$4:$S$4, $V$4, J72:S72)-SUMIF($J$4:$S$4, $V$4, J68:S68)+SUMIF($J$4:$S$4,$W$4, J72:S72)+SUMIF($J$4:$S$4,$W$4, J68:S68)-SUMIF($J$4:$S$4, $X$4, J72:S72)-SUMIF($J$4:$S$4, $X$4, J68:S68)</f>
        <v>0</v>
      </c>
      <c r="H72" s="20">
        <f t="shared" si="9"/>
        <v>0</v>
      </c>
      <c r="I72" s="169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27" thickBot="1">
      <c r="A73" s="94"/>
      <c r="B73" s="94"/>
      <c r="C73" s="94"/>
      <c r="D73" s="94"/>
      <c r="E73" s="94"/>
      <c r="F73" s="94"/>
      <c r="G73" s="132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</row>
    <row r="74" spans="1:19" ht="32.25" thickBot="1">
      <c r="A74" s="263" t="s">
        <v>52</v>
      </c>
      <c r="B74" s="238" t="s">
        <v>53</v>
      </c>
      <c r="C74" s="239"/>
      <c r="D74" s="240"/>
      <c r="E74" s="4">
        <f>SUMIF($J$4:$S$4,$T$4, J74:U74)+SUMIF($J$4:$S$4, $V$4, J74:U74)+SUMIF($J$4:$S$4, $X$4, J74:U74)</f>
        <v>0</v>
      </c>
      <c r="F74" s="139" t="s">
        <v>124</v>
      </c>
      <c r="G74" s="129">
        <f>E74+SUMIF($J$4:$S$4,$U$4, J74:S74)-SUMIF($J$4:$S$4, $V$4, J74:S74)+SUMIF($J$4:$S$4,$W$4, J74:S74)-SUMIF($J$4:$S$4, $X$4, J74:S74)</f>
        <v>0</v>
      </c>
      <c r="H74" s="20">
        <f t="shared" si="9"/>
        <v>0</v>
      </c>
      <c r="I74" s="169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32.25" thickBot="1">
      <c r="A75" s="264"/>
      <c r="B75" s="238" t="s">
        <v>54</v>
      </c>
      <c r="C75" s="239"/>
      <c r="D75" s="240"/>
      <c r="E75" s="4">
        <f>SUMIF($J$4:$S$4,$T$4, J75:U75)+SUMIF($J$4:$S$4, $V$4, J75:U75)+SUMIF($J$4:$S$4, $X$4, J75:U75)</f>
        <v>0</v>
      </c>
      <c r="F75" s="140"/>
      <c r="G75" s="129">
        <f>E75+SUMIF($J$4:$S$4,$U$4, J75:S75)-SUMIF($J$4:$S$4, $V$4, J75:S75)+SUMIF($J$4:$S$4,$W$4, J75:S75)-SUMIF($J$4:$S$4, $X$4, J75:S75)</f>
        <v>0</v>
      </c>
      <c r="H75" s="20">
        <f t="shared" si="9"/>
        <v>0</v>
      </c>
      <c r="I75" s="169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32.25" thickBot="1">
      <c r="A76" s="264"/>
      <c r="B76" s="238" t="s">
        <v>55</v>
      </c>
      <c r="C76" s="239"/>
      <c r="D76" s="240"/>
      <c r="E76" s="4">
        <f>SUMIF($J$4:$S$4,$T$4, J76:U76)+SUMIF($J$4:$S$4, $V$4, J76:U76)+SUMIF($J$4:$S$4, $X$4, J76:U76)</f>
        <v>0</v>
      </c>
      <c r="F76" s="140"/>
      <c r="G76" s="129">
        <f>E76+SUMIF($J$4:$S$4,$U$4, J76:S76)-SUMIF($J$4:$S$4, $V$4, J76:S76)+SUMIF($J$4:$S$4,$W$4, J76:S76)-SUMIF($J$4:$S$4, $X$4, J76:S76)</f>
        <v>0</v>
      </c>
      <c r="H76" s="20">
        <f t="shared" si="9"/>
        <v>0</v>
      </c>
      <c r="I76" s="169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32.25" thickBot="1">
      <c r="A77" s="265"/>
      <c r="B77" s="238" t="s">
        <v>75</v>
      </c>
      <c r="C77" s="239"/>
      <c r="D77" s="240"/>
      <c r="E77" s="4">
        <f>SUMIF($J$4:$S$4,$T$4, J77:U77)+SUMIF($J$4:$S$4, $V$4, J77:U77)+SUMIF($J$4:$S$4, $X$4, J77:U77)</f>
        <v>0</v>
      </c>
      <c r="F77" s="141"/>
      <c r="G77" s="129">
        <f>E77+SUMIF($J$4:$S$4,$U$4, J77:S77)-SUMIF($J$4:$S$4, $V$4, J77:S77)+SUMIF($J$4:$S$4,$W$4, J77:S77)-SUMIF($J$4:$S$4, $X$4, J77:S77)</f>
        <v>0</v>
      </c>
      <c r="H77" s="20">
        <f t="shared" ref="H77" si="14">G77-E77</f>
        <v>0</v>
      </c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27" thickBot="1">
      <c r="G78" s="13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32.25" thickBot="1">
      <c r="A79" s="255" t="s">
        <v>117</v>
      </c>
      <c r="B79" s="142" t="s">
        <v>118</v>
      </c>
      <c r="C79" s="143"/>
      <c r="D79" s="144"/>
      <c r="E79" s="4">
        <f>SUMIF($J$4:$S$4,$T$4, J79:U79)+SUMIF($J$4:$S$4, $V$4, J79:U79)+SUMIF($J$4:$S$4, $X$4, J79:U79)</f>
        <v>0</v>
      </c>
      <c r="F79" s="139" t="s">
        <v>124</v>
      </c>
      <c r="G79" s="129">
        <f>E79+SUMIF($J$4:$S$4,$U$4, J79:S79)-SUMIF($J$4:$S$4, $V$4, J79:S79)+SUMIF($J$4:$S$4,$W$4, J79:S79)-SUMIF($J$4:$S$4, $X$4, J79:S79)</f>
        <v>0</v>
      </c>
      <c r="H79" s="20">
        <f t="shared" ref="H79:H81" si="15">G79-E79</f>
        <v>0</v>
      </c>
      <c r="I79" s="169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32.25" thickBot="1">
      <c r="A80" s="256"/>
      <c r="B80" s="142" t="s">
        <v>119</v>
      </c>
      <c r="C80" s="143"/>
      <c r="D80" s="144"/>
      <c r="E80" s="4">
        <f>SUMIF($J$4:$S$4,$T$4, J80:U80)+SUMIF($J$4:$S$4, $V$4, J80:U80)+SUMIF($J$4:$S$4, $X$4, J80:U80)</f>
        <v>0</v>
      </c>
      <c r="F80" s="140"/>
      <c r="G80" s="129">
        <f>E80+SUMIF($J$4:$S$4,$U$4, J80:S80)-SUMIF($J$4:$S$4, $V$4, J80:S80)+SUMIF($J$4:$S$4,$W$4, J80:S80)-SUMIF($J$4:$S$4, $X$4, J80:S80)</f>
        <v>0</v>
      </c>
      <c r="H80" s="20">
        <f t="shared" si="15"/>
        <v>0</v>
      </c>
      <c r="I80" s="169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32.25" thickBot="1">
      <c r="A81" s="257"/>
      <c r="B81" s="142" t="s">
        <v>120</v>
      </c>
      <c r="C81" s="143"/>
      <c r="D81" s="144"/>
      <c r="E81" s="4">
        <f>SUMIF($J$4:$S$4,$T$4, J81:U81)+SUMIF($J$4:$S$4, $V$4, J81:U81)+SUMIF($J$4:$S$4, $X$4, J81:U81)</f>
        <v>0</v>
      </c>
      <c r="F81" s="141"/>
      <c r="G81" s="129">
        <f>E81+SUMIF($J$4:$S$4,$U$4, J81:S81)-SUMIF($J$4:$S$4, $V$4, J81:S81)+SUMIF($J$4:$S$4,$W$4, J81:S81)-SUMIF($J$4:$S$4, $X$4, J81:S81)</f>
        <v>0</v>
      </c>
      <c r="H81" s="20">
        <f t="shared" si="15"/>
        <v>0</v>
      </c>
      <c r="I81" s="169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27" thickBot="1"/>
    <row r="83" spans="1:19" ht="32.25" thickBot="1">
      <c r="A83" s="223" t="s">
        <v>143</v>
      </c>
      <c r="B83" s="226" t="s">
        <v>144</v>
      </c>
      <c r="C83" s="227"/>
      <c r="D83" s="228"/>
      <c r="E83" s="4">
        <f>SUMIF($J$4:$S$4,$T$4, J83:U83)+SUMIF($J$4:$S$4, $V$4, J83:U83)+SUMIF($J$4:$S$4, $X$4, J83:U83)</f>
        <v>0</v>
      </c>
      <c r="F83" s="139" t="s">
        <v>124</v>
      </c>
      <c r="G83" s="4">
        <f>E83+SUMIF($J$4:$S$4,$U$4, J83:S83)-SUMIF($J$4:$S$4, $V$4, J83:S83)+SUMIF($J$4:$S$4,$W$4, J83:S83)-SUMIF($J$4:$S$4, $X$4, J83:S83)</f>
        <v>0</v>
      </c>
      <c r="H83" s="20">
        <f t="shared" ref="H83:H85" si="16">G83-E83</f>
        <v>0</v>
      </c>
      <c r="I83" s="169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32.25" thickBot="1">
      <c r="A84" s="224"/>
      <c r="B84" s="226" t="s">
        <v>145</v>
      </c>
      <c r="C84" s="227"/>
      <c r="D84" s="228"/>
      <c r="E84" s="4">
        <f>E83+SUMIF($J$4:$S$4,$T$4, J84:U84)+SUMIF($J$4:$S$4, $V$4, J84:U84)+SUMIF($J$4:$S$4, $X$4, J84:U84)</f>
        <v>0</v>
      </c>
      <c r="F84" s="140"/>
      <c r="G84" s="4">
        <f>E84+SUMIF($J$4:$S$4,$U$4, J84:S84)+SUMIF($J$4:$S$4,$U$4, J83:S83)-SUMIF($J$4:$S$4, $V$4, J84:S84)-SUMIF($J$4:$S$4, $V$4, J83:S83)+SUMIF($J$4:$S$4,$W$4, J84:S84)+SUMIF($J$4:$S$4,$W$4, J83:S83)-SUMIF($J$4:$S$4, $X$4, J84:S84)-SUMIF($J$4:$S$4, $X$4, J83:S83)</f>
        <v>0</v>
      </c>
      <c r="H84" s="20">
        <f t="shared" si="16"/>
        <v>0</v>
      </c>
      <c r="I84" s="169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32.25" thickBot="1">
      <c r="A85" s="225"/>
      <c r="B85" s="226" t="s">
        <v>146</v>
      </c>
      <c r="C85" s="227"/>
      <c r="D85" s="228"/>
      <c r="E85" s="4">
        <f>E84+SUMIF($J$4:$S$4,$T$4, J85:U85)+SUMIF($J$4:$S$4, $V$4, J85:U85)+SUMIF($J$4:$S$4, $X$4, J85:U85)</f>
        <v>0</v>
      </c>
      <c r="F85" s="141"/>
      <c r="G85" s="4">
        <f>E85+SUMIF($J$4:$S$4,$U$4, J85:S85)+SUMIF($J$4:$S$4,$U$4, J84:S84)+SUMIF($J$4:$S$4,$U$4, J83:S83)-SUMIF($J$4:$S$4, $V$4, J85:S85)-SUMIF($J$4:$S$4, $V$4, J84:S84)-SUMIF($J$4:$S$4, $V$4, J83:S83)+SUMIF($J$4:$S$4,$W$4, J85:S85)+SUMIF($J$4:$S$4,$W$4, J84:S84)+SUMIF($J$4:$S$4,$W$4, J83:S83)-SUMIF($J$4:$S$4, $X$4, J85:S85)-SUMIF($J$4:$S$4, $X$4, J84:S84)-SUMIF($J$4:$S$4, $X$4, J83:S83)</f>
        <v>0</v>
      </c>
      <c r="H85" s="20">
        <f t="shared" si="16"/>
        <v>0</v>
      </c>
      <c r="I85" s="169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27" thickBot="1">
      <c r="A86" s="1"/>
      <c r="B86" s="1"/>
      <c r="C86" s="1"/>
      <c r="D86" s="1"/>
    </row>
    <row r="87" spans="1:19" ht="32.25" thickBot="1">
      <c r="A87" s="229" t="s">
        <v>147</v>
      </c>
      <c r="B87" s="220" t="s">
        <v>148</v>
      </c>
      <c r="C87" s="221"/>
      <c r="D87" s="222"/>
      <c r="E87" s="4">
        <f>SUMIF($J$4:$S$4,$T$4, J87:U87)+SUMIF($J$4:$S$4, $V$4, J87:U87)+SUMIF($J$4:$S$4, $X$4, J87:U87)</f>
        <v>0</v>
      </c>
      <c r="F87" s="139" t="s">
        <v>124</v>
      </c>
      <c r="G87" s="4">
        <f>E87+SUMIF($J$4:$S$4,$U$4, J87:S87)-SUMIF($J$4:$S$4, $V$4, J87:S87)+SUMIF($J$4:$S$4,$W$4, J87:S87)-SUMIF($J$4:$S$4, $X$4, J87:S87)</f>
        <v>0</v>
      </c>
      <c r="H87" s="20">
        <f t="shared" ref="H87:H88" si="17">G87-E87</f>
        <v>0</v>
      </c>
      <c r="I87" s="169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32.25" thickBot="1">
      <c r="A88" s="230"/>
      <c r="B88" s="220" t="s">
        <v>149</v>
      </c>
      <c r="C88" s="221"/>
      <c r="D88" s="222"/>
      <c r="E88" s="4">
        <f>E87+SUMIF($J$4:$S$4,$T$4, J88:U88)+SUMIF($J$4:$S$4, $V$4, J88:U88)+SUMIF($J$4:$S$4, $X$4, J88:U88)</f>
        <v>0</v>
      </c>
      <c r="F88" s="140"/>
      <c r="G88" s="4">
        <f>E88+SUMIF($J$4:$S$4,$U$4, J88:S88)+SUMIF($J$4:$S$4,$U$4, J87:S87)-SUMIF($J$4:$S$4, $V$4, J88:S88)-SUMIF($J$4:$S$4, $V$4, J87:S87)+SUMIF($J$4:$S$4,$W$4, J88:S88)+SUMIF($J$4:$S$4,$W$4, J87:S87)-SUMIF($J$4:$S$4, $X$4, J88:S88)-SUMIF($J$4:$S$4, $X$4, J87:S87)</f>
        <v>0</v>
      </c>
      <c r="H88" s="20">
        <f t="shared" si="17"/>
        <v>0</v>
      </c>
      <c r="I88" s="169"/>
      <c r="J88" s="2"/>
      <c r="K88" s="2"/>
      <c r="L88" s="2"/>
      <c r="M88" s="2"/>
      <c r="N88" s="2"/>
      <c r="O88" s="2"/>
      <c r="P88" s="2"/>
      <c r="Q88" s="2"/>
      <c r="R88" s="2"/>
      <c r="S88" s="2"/>
    </row>
  </sheetData>
  <mergeCells count="115">
    <mergeCell ref="A2:B2"/>
    <mergeCell ref="A3:B3"/>
    <mergeCell ref="C2:D2"/>
    <mergeCell ref="C3:D3"/>
    <mergeCell ref="C33:D33"/>
    <mergeCell ref="C32:D32"/>
    <mergeCell ref="C31:D31"/>
    <mergeCell ref="C29:D29"/>
    <mergeCell ref="C28:D28"/>
    <mergeCell ref="C27:D27"/>
    <mergeCell ref="C26:D26"/>
    <mergeCell ref="C25:D25"/>
    <mergeCell ref="C24:D24"/>
    <mergeCell ref="C13:D13"/>
    <mergeCell ref="C16:D16"/>
    <mergeCell ref="C17:D17"/>
    <mergeCell ref="A5:B6"/>
    <mergeCell ref="C5:D5"/>
    <mergeCell ref="C6:D6"/>
    <mergeCell ref="C8:D8"/>
    <mergeCell ref="C9:D9"/>
    <mergeCell ref="C4:D4"/>
    <mergeCell ref="C30:D30"/>
    <mergeCell ref="B79:D79"/>
    <mergeCell ref="C55:D55"/>
    <mergeCell ref="C56:D56"/>
    <mergeCell ref="C10:D10"/>
    <mergeCell ref="C11:D11"/>
    <mergeCell ref="A57:A58"/>
    <mergeCell ref="C12:D12"/>
    <mergeCell ref="C15:D15"/>
    <mergeCell ref="C18:D18"/>
    <mergeCell ref="C23:D23"/>
    <mergeCell ref="C46:D46"/>
    <mergeCell ref="C38:D38"/>
    <mergeCell ref="C45:D45"/>
    <mergeCell ref="I22:I46"/>
    <mergeCell ref="I48:I58"/>
    <mergeCell ref="C37:D37"/>
    <mergeCell ref="C39:D39"/>
    <mergeCell ref="C42:D42"/>
    <mergeCell ref="C40:D40"/>
    <mergeCell ref="C41:D41"/>
    <mergeCell ref="C43:D43"/>
    <mergeCell ref="C44:D44"/>
    <mergeCell ref="F5:F18"/>
    <mergeCell ref="F22:F46"/>
    <mergeCell ref="F48:F58"/>
    <mergeCell ref="C14:D14"/>
    <mergeCell ref="C50:D50"/>
    <mergeCell ref="B57:D57"/>
    <mergeCell ref="B58:D58"/>
    <mergeCell ref="C52:D52"/>
    <mergeCell ref="C22:D22"/>
    <mergeCell ref="A7:B14"/>
    <mergeCell ref="C7:D7"/>
    <mergeCell ref="F87:F88"/>
    <mergeCell ref="I87:I88"/>
    <mergeCell ref="B88:D88"/>
    <mergeCell ref="A83:A85"/>
    <mergeCell ref="B83:D83"/>
    <mergeCell ref="F83:F85"/>
    <mergeCell ref="I83:I85"/>
    <mergeCell ref="B84:D84"/>
    <mergeCell ref="B85:D85"/>
    <mergeCell ref="A87:A88"/>
    <mergeCell ref="B87:D87"/>
    <mergeCell ref="A1:N1"/>
    <mergeCell ref="A15:B18"/>
    <mergeCell ref="A68:A72"/>
    <mergeCell ref="B74:D74"/>
    <mergeCell ref="B71:D71"/>
    <mergeCell ref="B72:D72"/>
    <mergeCell ref="A74:A77"/>
    <mergeCell ref="B33:B39"/>
    <mergeCell ref="B40:B46"/>
    <mergeCell ref="B76:D76"/>
    <mergeCell ref="C36:D36"/>
    <mergeCell ref="C35:D35"/>
    <mergeCell ref="C34:D34"/>
    <mergeCell ref="B66:D66"/>
    <mergeCell ref="C54:D54"/>
    <mergeCell ref="C49:D49"/>
    <mergeCell ref="C53:D53"/>
    <mergeCell ref="A22:A46"/>
    <mergeCell ref="B22:B32"/>
    <mergeCell ref="C51:D51"/>
    <mergeCell ref="B48:B51"/>
    <mergeCell ref="B52:B56"/>
    <mergeCell ref="C48:D48"/>
    <mergeCell ref="A60:A63"/>
    <mergeCell ref="I79:I81"/>
    <mergeCell ref="I60:I66"/>
    <mergeCell ref="F79:F81"/>
    <mergeCell ref="F60:F66"/>
    <mergeCell ref="F68:F72"/>
    <mergeCell ref="B80:D80"/>
    <mergeCell ref="B81:D81"/>
    <mergeCell ref="A48:A56"/>
    <mergeCell ref="B75:D75"/>
    <mergeCell ref="B70:D70"/>
    <mergeCell ref="B69:D69"/>
    <mergeCell ref="B68:D68"/>
    <mergeCell ref="B77:D77"/>
    <mergeCell ref="B60:D60"/>
    <mergeCell ref="B61:D61"/>
    <mergeCell ref="B62:D62"/>
    <mergeCell ref="B63:D63"/>
    <mergeCell ref="A64:D64"/>
    <mergeCell ref="A65:A66"/>
    <mergeCell ref="B65:D65"/>
    <mergeCell ref="I74:I76"/>
    <mergeCell ref="I68:I72"/>
    <mergeCell ref="F74:F77"/>
    <mergeCell ref="A79:A81"/>
  </mergeCells>
  <phoneticPr fontId="7" type="noConversion"/>
  <conditionalFormatting sqref="E13">
    <cfRule type="cellIs" dxfId="162" priority="223" operator="lessThan">
      <formula>E14</formula>
    </cfRule>
    <cfRule type="cellIs" dxfId="161" priority="224" operator="greaterThan">
      <formula>E14</formula>
    </cfRule>
  </conditionalFormatting>
  <conditionalFormatting sqref="E14">
    <cfRule type="cellIs" dxfId="160" priority="217" operator="greaterThan">
      <formula>E13</formula>
    </cfRule>
    <cfRule type="cellIs" dxfId="159" priority="218" operator="lessThan">
      <formula>E13</formula>
    </cfRule>
  </conditionalFormatting>
  <conditionalFormatting sqref="G13">
    <cfRule type="cellIs" dxfId="158" priority="221" operator="lessThan">
      <formula>G14</formula>
    </cfRule>
    <cfRule type="cellIs" dxfId="157" priority="222" operator="greaterThan">
      <formula>G14</formula>
    </cfRule>
  </conditionalFormatting>
  <conditionalFormatting sqref="G14">
    <cfRule type="cellIs" dxfId="156" priority="219" operator="lessThan">
      <formula>G13</formula>
    </cfRule>
    <cfRule type="cellIs" dxfId="155" priority="220" operator="greaterThan">
      <formula>G13</formula>
    </cfRule>
  </conditionalFormatting>
  <conditionalFormatting sqref="H6:H9 H15:H18">
    <cfRule type="cellIs" dxfId="154" priority="262" operator="lessThan">
      <formula>0</formula>
    </cfRule>
    <cfRule type="cellIs" dxfId="153" priority="263" operator="greaterThan">
      <formula>0</formula>
    </cfRule>
  </conditionalFormatting>
  <conditionalFormatting sqref="H6:H18">
    <cfRule type="cellIs" dxfId="152" priority="193" operator="equal">
      <formula>0</formula>
    </cfRule>
  </conditionalFormatting>
  <conditionalFormatting sqref="H10:H14">
    <cfRule type="cellIs" dxfId="151" priority="194" operator="greaterThan">
      <formula>0</formula>
    </cfRule>
    <cfRule type="cellIs" dxfId="150" priority="195" operator="lessThan">
      <formula>0</formula>
    </cfRule>
  </conditionalFormatting>
  <conditionalFormatting sqref="H22:H46">
    <cfRule type="cellIs" dxfId="149" priority="281" operator="equal">
      <formula>0</formula>
    </cfRule>
    <cfRule type="cellIs" dxfId="148" priority="323" operator="lessThan">
      <formula>0</formula>
    </cfRule>
    <cfRule type="cellIs" dxfId="147" priority="374" operator="greaterThan">
      <formula>0</formula>
    </cfRule>
  </conditionalFormatting>
  <conditionalFormatting sqref="H48:H58">
    <cfRule type="cellIs" dxfId="146" priority="277" operator="equal">
      <formula>0</formula>
    </cfRule>
    <cfRule type="cellIs" dxfId="145" priority="278" operator="lessThan">
      <formula>0</formula>
    </cfRule>
    <cfRule type="cellIs" dxfId="144" priority="279" operator="greaterThan">
      <formula>0</formula>
    </cfRule>
  </conditionalFormatting>
  <conditionalFormatting sqref="H60:H66">
    <cfRule type="cellIs" dxfId="143" priority="273" operator="equal">
      <formula>0</formula>
    </cfRule>
    <cfRule type="cellIs" dxfId="142" priority="274" operator="lessThan">
      <formula>0</formula>
    </cfRule>
    <cfRule type="cellIs" dxfId="141" priority="275" operator="greaterThan">
      <formula>0</formula>
    </cfRule>
  </conditionalFormatting>
  <conditionalFormatting sqref="H68:H72 H74:H77">
    <cfRule type="cellIs" dxfId="140" priority="265" operator="equal">
      <formula>0</formula>
    </cfRule>
    <cfRule type="cellIs" dxfId="139" priority="266" operator="lessThan">
      <formula>0</formula>
    </cfRule>
    <cfRule type="cellIs" dxfId="138" priority="267" operator="greaterThan">
      <formula>0</formula>
    </cfRule>
  </conditionalFormatting>
  <conditionalFormatting sqref="H79:H81">
    <cfRule type="cellIs" dxfId="137" priority="253" operator="equal">
      <formula>0</formula>
    </cfRule>
    <cfRule type="cellIs" dxfId="136" priority="254" operator="lessThan">
      <formula>0</formula>
    </cfRule>
    <cfRule type="cellIs" dxfId="135" priority="255" operator="greaterThan">
      <formula>0</formula>
    </cfRule>
  </conditionalFormatting>
  <conditionalFormatting sqref="H83:H85">
    <cfRule type="cellIs" dxfId="134" priority="186" operator="equal">
      <formula>0</formula>
    </cfRule>
    <cfRule type="cellIs" dxfId="133" priority="187" operator="lessThan">
      <formula>0</formula>
    </cfRule>
    <cfRule type="cellIs" dxfId="132" priority="188" operator="greaterThan">
      <formula>0</formula>
    </cfRule>
  </conditionalFormatting>
  <conditionalFormatting sqref="H87:H88">
    <cfRule type="cellIs" dxfId="131" priority="182" operator="equal">
      <formula>0</formula>
    </cfRule>
    <cfRule type="cellIs" dxfId="130" priority="183" operator="lessThan">
      <formula>0</formula>
    </cfRule>
    <cfRule type="cellIs" dxfId="129" priority="184" operator="greaterThan">
      <formula>0</formula>
    </cfRule>
  </conditionalFormatting>
  <conditionalFormatting sqref="M5:M6">
    <cfRule type="expression" dxfId="128" priority="113">
      <formula>M$4="해지"</formula>
    </cfRule>
    <cfRule type="expression" dxfId="127" priority="112">
      <formula>M$4="변경"</formula>
    </cfRule>
    <cfRule type="expression" dxfId="126" priority="111">
      <formula>M$4="후"</formula>
    </cfRule>
    <cfRule type="expression" dxfId="125" priority="110">
      <formula>M$4="변경/해지"</formula>
    </cfRule>
    <cfRule type="expression" dxfId="124" priority="109">
      <formula>M$4="　"</formula>
    </cfRule>
  </conditionalFormatting>
  <conditionalFormatting sqref="M13">
    <cfRule type="cellIs" dxfId="123" priority="117" operator="greaterThan">
      <formula>M14</formula>
    </cfRule>
    <cfRule type="cellIs" dxfId="122" priority="118" operator="lessThan">
      <formula>M14</formula>
    </cfRule>
  </conditionalFormatting>
  <conditionalFormatting sqref="M14">
    <cfRule type="cellIs" dxfId="121" priority="119" operator="lessThan">
      <formula>M13</formula>
    </cfRule>
    <cfRule type="cellIs" dxfId="120" priority="120" operator="greaterThan">
      <formula>M13</formula>
    </cfRule>
  </conditionalFormatting>
  <conditionalFormatting sqref="M10">
    <cfRule type="expression" dxfId="119" priority="123">
      <formula>M$4="후"</formula>
    </cfRule>
  </conditionalFormatting>
  <conditionalFormatting sqref="M11:M12">
    <cfRule type="expression" dxfId="118" priority="121">
      <formula>IF($J$13&gt;$J$14, )</formula>
    </cfRule>
    <cfRule type="cellIs" dxfId="117" priority="122" operator="equal">
      <formula>0</formula>
    </cfRule>
  </conditionalFormatting>
  <conditionalFormatting sqref="L5:L6">
    <cfRule type="expression" dxfId="116" priority="97">
      <formula>L$4="　"</formula>
    </cfRule>
    <cfRule type="expression" dxfId="115" priority="98">
      <formula>L$4="변경/해지"</formula>
    </cfRule>
    <cfRule type="expression" dxfId="114" priority="99">
      <formula>L$4="후"</formula>
    </cfRule>
    <cfRule type="expression" dxfId="113" priority="100">
      <formula>L$4="변경"</formula>
    </cfRule>
    <cfRule type="expression" dxfId="112" priority="101">
      <formula>L$4="해지"</formula>
    </cfRule>
  </conditionalFormatting>
  <conditionalFormatting sqref="L13">
    <cfRule type="cellIs" dxfId="111" priority="102" operator="greaterThan">
      <formula>L14</formula>
    </cfRule>
    <cfRule type="cellIs" dxfId="110" priority="103" operator="lessThan">
      <formula>L14</formula>
    </cfRule>
  </conditionalFormatting>
  <conditionalFormatting sqref="L14">
    <cfRule type="cellIs" dxfId="109" priority="104" operator="lessThan">
      <formula>L13</formula>
    </cfRule>
    <cfRule type="cellIs" dxfId="108" priority="105" operator="greaterThan">
      <formula>L13</formula>
    </cfRule>
  </conditionalFormatting>
  <conditionalFormatting sqref="L10">
    <cfRule type="expression" dxfId="107" priority="108">
      <formula>L$4="후"</formula>
    </cfRule>
  </conditionalFormatting>
  <conditionalFormatting sqref="L11:L12">
    <cfRule type="expression" dxfId="106" priority="106">
      <formula>IF($J$13&gt;$J$14, )</formula>
    </cfRule>
    <cfRule type="cellIs" dxfId="105" priority="107" operator="equal">
      <formula>0</formula>
    </cfRule>
  </conditionalFormatting>
  <conditionalFormatting sqref="K5:K6">
    <cfRule type="expression" dxfId="104" priority="85">
      <formula>K$4="　"</formula>
    </cfRule>
    <cfRule type="expression" dxfId="103" priority="86">
      <formula>K$4="변경/해지"</formula>
    </cfRule>
    <cfRule type="expression" dxfId="102" priority="87">
      <formula>K$4="후"</formula>
    </cfRule>
    <cfRule type="expression" dxfId="101" priority="88">
      <formula>K$4="변경"</formula>
    </cfRule>
    <cfRule type="expression" dxfId="100" priority="89">
      <formula>K$4="해지"</formula>
    </cfRule>
  </conditionalFormatting>
  <conditionalFormatting sqref="K13">
    <cfRule type="cellIs" dxfId="99" priority="90" operator="greaterThan">
      <formula>K14</formula>
    </cfRule>
    <cfRule type="cellIs" dxfId="98" priority="91" operator="lessThan">
      <formula>K14</formula>
    </cfRule>
  </conditionalFormatting>
  <conditionalFormatting sqref="K14">
    <cfRule type="cellIs" dxfId="97" priority="92" operator="lessThan">
      <formula>K13</formula>
    </cfRule>
    <cfRule type="cellIs" dxfId="96" priority="93" operator="greaterThan">
      <formula>K13</formula>
    </cfRule>
  </conditionalFormatting>
  <conditionalFormatting sqref="K10">
    <cfRule type="expression" dxfId="95" priority="96">
      <formula>K$4="후"</formula>
    </cfRule>
  </conditionalFormatting>
  <conditionalFormatting sqref="K11:K12">
    <cfRule type="expression" dxfId="94" priority="94">
      <formula>IF($J$13&gt;$J$14, )</formula>
    </cfRule>
    <cfRule type="cellIs" dxfId="93" priority="95" operator="equal">
      <formula>0</formula>
    </cfRule>
  </conditionalFormatting>
  <conditionalFormatting sqref="J5:J6">
    <cfRule type="expression" dxfId="92" priority="73">
      <formula>J$4="　"</formula>
    </cfRule>
    <cfRule type="expression" dxfId="91" priority="74">
      <formula>J$4="변경/해지"</formula>
    </cfRule>
    <cfRule type="expression" dxfId="90" priority="75">
      <formula>J$4="후"</formula>
    </cfRule>
    <cfRule type="expression" dxfId="89" priority="76">
      <formula>J$4="변경"</formula>
    </cfRule>
    <cfRule type="expression" dxfId="88" priority="77">
      <formula>J$4="해지"</formula>
    </cfRule>
  </conditionalFormatting>
  <conditionalFormatting sqref="J13">
    <cfRule type="cellIs" dxfId="87" priority="78" operator="greaterThan">
      <formula>J14</formula>
    </cfRule>
    <cfRule type="cellIs" dxfId="86" priority="79" operator="lessThan">
      <formula>J14</formula>
    </cfRule>
  </conditionalFormatting>
  <conditionalFormatting sqref="J14">
    <cfRule type="cellIs" dxfId="85" priority="80" operator="lessThan">
      <formula>J13</formula>
    </cfRule>
    <cfRule type="cellIs" dxfId="84" priority="81" operator="greaterThan">
      <formula>J13</formula>
    </cfRule>
  </conditionalFormatting>
  <conditionalFormatting sqref="J10">
    <cfRule type="expression" dxfId="83" priority="84">
      <formula>J$4="후"</formula>
    </cfRule>
  </conditionalFormatting>
  <conditionalFormatting sqref="J11:J12">
    <cfRule type="expression" dxfId="82" priority="82">
      <formula>IF($J$13&gt;$J$14, )</formula>
    </cfRule>
    <cfRule type="cellIs" dxfId="81" priority="83" operator="equal">
      <formula>0</formula>
    </cfRule>
  </conditionalFormatting>
  <conditionalFormatting sqref="N5:N6">
    <cfRule type="expression" dxfId="80" priority="61">
      <formula>N$4="　"</formula>
    </cfRule>
    <cfRule type="expression" dxfId="79" priority="62">
      <formula>N$4="변경/해지"</formula>
    </cfRule>
    <cfRule type="expression" dxfId="78" priority="63">
      <formula>N$4="후"</formula>
    </cfRule>
    <cfRule type="expression" dxfId="77" priority="64">
      <formula>N$4="변경"</formula>
    </cfRule>
    <cfRule type="expression" dxfId="76" priority="65">
      <formula>N$4="해지"</formula>
    </cfRule>
  </conditionalFormatting>
  <conditionalFormatting sqref="N13">
    <cfRule type="cellIs" dxfId="75" priority="66" operator="greaterThan">
      <formula>N14</formula>
    </cfRule>
    <cfRule type="cellIs" dxfId="74" priority="67" operator="lessThan">
      <formula>N14</formula>
    </cfRule>
  </conditionalFormatting>
  <conditionalFormatting sqref="N14">
    <cfRule type="cellIs" dxfId="73" priority="68" operator="lessThan">
      <formula>N13</formula>
    </cfRule>
    <cfRule type="cellIs" dxfId="72" priority="69" operator="greaterThan">
      <formula>N13</formula>
    </cfRule>
  </conditionalFormatting>
  <conditionalFormatting sqref="N10">
    <cfRule type="expression" dxfId="71" priority="72">
      <formula>N$4="후"</formula>
    </cfRule>
  </conditionalFormatting>
  <conditionalFormatting sqref="N11:N12">
    <cfRule type="expression" dxfId="70" priority="70">
      <formula>IF($J$13&gt;$J$14, )</formula>
    </cfRule>
    <cfRule type="cellIs" dxfId="69" priority="71" operator="equal">
      <formula>0</formula>
    </cfRule>
  </conditionalFormatting>
  <conditionalFormatting sqref="O5:O6">
    <cfRule type="expression" dxfId="68" priority="49">
      <formula>O$4="　"</formula>
    </cfRule>
    <cfRule type="expression" dxfId="67" priority="50">
      <formula>O$4="변경/해지"</formula>
    </cfRule>
    <cfRule type="expression" dxfId="66" priority="51">
      <formula>O$4="후"</formula>
    </cfRule>
    <cfRule type="expression" dxfId="65" priority="52">
      <formula>O$4="변경"</formula>
    </cfRule>
    <cfRule type="expression" dxfId="64" priority="53">
      <formula>O$4="해지"</formula>
    </cfRule>
  </conditionalFormatting>
  <conditionalFormatting sqref="O13">
    <cfRule type="cellIs" dxfId="63" priority="54" operator="greaterThan">
      <formula>O14</formula>
    </cfRule>
    <cfRule type="cellIs" dxfId="62" priority="55" operator="lessThan">
      <formula>O14</formula>
    </cfRule>
  </conditionalFormatting>
  <conditionalFormatting sqref="O14">
    <cfRule type="cellIs" dxfId="61" priority="56" operator="lessThan">
      <formula>O13</formula>
    </cfRule>
    <cfRule type="cellIs" dxfId="60" priority="57" operator="greaterThan">
      <formula>O13</formula>
    </cfRule>
  </conditionalFormatting>
  <conditionalFormatting sqref="O10">
    <cfRule type="expression" dxfId="59" priority="60">
      <formula>O$4="후"</formula>
    </cfRule>
  </conditionalFormatting>
  <conditionalFormatting sqref="O11:O12">
    <cfRule type="expression" dxfId="58" priority="58">
      <formula>IF($J$13&gt;$J$14, )</formula>
    </cfRule>
    <cfRule type="cellIs" dxfId="57" priority="59" operator="equal">
      <formula>0</formula>
    </cfRule>
  </conditionalFormatting>
  <conditionalFormatting sqref="P5:P6">
    <cfRule type="expression" dxfId="56" priority="37">
      <formula>P$4="　"</formula>
    </cfRule>
    <cfRule type="expression" dxfId="55" priority="38">
      <formula>P$4="변경/해지"</formula>
    </cfRule>
    <cfRule type="expression" dxfId="54" priority="39">
      <formula>P$4="후"</formula>
    </cfRule>
    <cfRule type="expression" dxfId="53" priority="40">
      <formula>P$4="변경"</formula>
    </cfRule>
    <cfRule type="expression" dxfId="52" priority="41">
      <formula>P$4="해지"</formula>
    </cfRule>
  </conditionalFormatting>
  <conditionalFormatting sqref="P13">
    <cfRule type="cellIs" dxfId="51" priority="42" operator="greaterThan">
      <formula>P14</formula>
    </cfRule>
    <cfRule type="cellIs" dxfId="50" priority="43" operator="lessThan">
      <formula>P14</formula>
    </cfRule>
  </conditionalFormatting>
  <conditionalFormatting sqref="P14">
    <cfRule type="cellIs" dxfId="49" priority="44" operator="lessThan">
      <formula>P13</formula>
    </cfRule>
    <cfRule type="cellIs" dxfId="48" priority="45" operator="greaterThan">
      <formula>P13</formula>
    </cfRule>
  </conditionalFormatting>
  <conditionalFormatting sqref="P10">
    <cfRule type="expression" dxfId="47" priority="48">
      <formula>P$4="후"</formula>
    </cfRule>
  </conditionalFormatting>
  <conditionalFormatting sqref="P11:P12">
    <cfRule type="expression" dxfId="46" priority="46">
      <formula>IF($J$13&gt;$J$14, )</formula>
    </cfRule>
    <cfRule type="cellIs" dxfId="45" priority="47" operator="equal">
      <formula>0</formula>
    </cfRule>
  </conditionalFormatting>
  <conditionalFormatting sqref="Q5:Q6">
    <cfRule type="expression" dxfId="44" priority="25">
      <formula>Q$4="　"</formula>
    </cfRule>
    <cfRule type="expression" dxfId="43" priority="26">
      <formula>Q$4="변경/해지"</formula>
    </cfRule>
    <cfRule type="expression" dxfId="42" priority="27">
      <formula>Q$4="후"</formula>
    </cfRule>
    <cfRule type="expression" dxfId="41" priority="28">
      <formula>Q$4="변경"</formula>
    </cfRule>
    <cfRule type="expression" dxfId="40" priority="29">
      <formula>Q$4="해지"</formula>
    </cfRule>
  </conditionalFormatting>
  <conditionalFormatting sqref="Q13">
    <cfRule type="cellIs" dxfId="39" priority="30" operator="greaterThan">
      <formula>Q14</formula>
    </cfRule>
    <cfRule type="cellIs" dxfId="38" priority="31" operator="lessThan">
      <formula>Q14</formula>
    </cfRule>
  </conditionalFormatting>
  <conditionalFormatting sqref="Q14">
    <cfRule type="cellIs" dxfId="37" priority="32" operator="lessThan">
      <formula>Q13</formula>
    </cfRule>
    <cfRule type="cellIs" dxfId="36" priority="33" operator="greaterThan">
      <formula>Q13</formula>
    </cfRule>
  </conditionalFormatting>
  <conditionalFormatting sqref="Q10">
    <cfRule type="expression" dxfId="35" priority="36">
      <formula>Q$4="후"</formula>
    </cfRule>
  </conditionalFormatting>
  <conditionalFormatting sqref="Q11:Q12">
    <cfRule type="expression" dxfId="34" priority="34">
      <formula>IF($J$13&gt;$J$14, )</formula>
    </cfRule>
    <cfRule type="cellIs" dxfId="33" priority="35" operator="equal">
      <formula>0</formula>
    </cfRule>
  </conditionalFormatting>
  <conditionalFormatting sqref="R5:R6">
    <cfRule type="expression" dxfId="32" priority="13">
      <formula>R$4="　"</formula>
    </cfRule>
    <cfRule type="expression" dxfId="31" priority="14">
      <formula>R$4="변경/해지"</formula>
    </cfRule>
    <cfRule type="expression" dxfId="30" priority="15">
      <formula>R$4="후"</formula>
    </cfRule>
    <cfRule type="expression" dxfId="29" priority="16">
      <formula>R$4="변경"</formula>
    </cfRule>
    <cfRule type="expression" dxfId="28" priority="17">
      <formula>R$4="해지"</formula>
    </cfRule>
  </conditionalFormatting>
  <conditionalFormatting sqref="R13">
    <cfRule type="cellIs" dxfId="27" priority="18" operator="greaterThan">
      <formula>R14</formula>
    </cfRule>
    <cfRule type="cellIs" dxfId="26" priority="19" operator="lessThan">
      <formula>R14</formula>
    </cfRule>
  </conditionalFormatting>
  <conditionalFormatting sqref="R14">
    <cfRule type="cellIs" dxfId="25" priority="20" operator="lessThan">
      <formula>R13</formula>
    </cfRule>
    <cfRule type="cellIs" dxfId="24" priority="21" operator="greaterThan">
      <formula>R13</formula>
    </cfRule>
  </conditionalFormatting>
  <conditionalFormatting sqref="R10">
    <cfRule type="expression" dxfId="23" priority="24">
      <formula>R$4="후"</formula>
    </cfRule>
  </conditionalFormatting>
  <conditionalFormatting sqref="R11:R12">
    <cfRule type="expression" dxfId="22" priority="22">
      <formula>IF($J$13&gt;$J$14, )</formula>
    </cfRule>
    <cfRule type="cellIs" dxfId="21" priority="23" operator="equal">
      <formula>0</formula>
    </cfRule>
  </conditionalFormatting>
  <conditionalFormatting sqref="S5:S6">
    <cfRule type="expression" dxfId="20" priority="1">
      <formula>S$4="　"</formula>
    </cfRule>
    <cfRule type="expression" dxfId="19" priority="2">
      <formula>S$4="변경/해지"</formula>
    </cfRule>
    <cfRule type="expression" dxfId="18" priority="3">
      <formula>S$4="후"</formula>
    </cfRule>
    <cfRule type="expression" dxfId="17" priority="4">
      <formula>S$4="변경"</formula>
    </cfRule>
    <cfRule type="expression" dxfId="16" priority="5">
      <formula>S$4="해지"</formula>
    </cfRule>
  </conditionalFormatting>
  <conditionalFormatting sqref="S13">
    <cfRule type="cellIs" dxfId="15" priority="6" operator="greaterThan">
      <formula>S14</formula>
    </cfRule>
    <cfRule type="cellIs" dxfId="14" priority="7" operator="lessThan">
      <formula>S14</formula>
    </cfRule>
  </conditionalFormatting>
  <conditionalFormatting sqref="S14">
    <cfRule type="cellIs" dxfId="13" priority="8" operator="lessThan">
      <formula>S13</formula>
    </cfRule>
    <cfRule type="cellIs" dxfId="12" priority="9" operator="greaterThan">
      <formula>S13</formula>
    </cfRule>
  </conditionalFormatting>
  <conditionalFormatting sqref="S10">
    <cfRule type="expression" dxfId="11" priority="12">
      <formula>S$4="후"</formula>
    </cfRule>
  </conditionalFormatting>
  <conditionalFormatting sqref="S11:S12">
    <cfRule type="expression" dxfId="10" priority="10">
      <formula>IF($J$13&gt;$J$14, )</formula>
    </cfRule>
    <cfRule type="cellIs" dxfId="9" priority="11" operator="equal">
      <formula>0</formula>
    </cfRule>
  </conditionalFormatting>
  <dataValidations count="1">
    <dataValidation type="list" allowBlank="1" showInputMessage="1" showErrorMessage="1" errorTitle="에러" error="계약상태를 선택해주세요" sqref="J4:S4" xr:uid="{840F642B-4872-4C50-9DD3-EC8D6B114503}">
      <formula1>"　, 전, 후, 해지, 변경, 변경/해지"</formula1>
    </dataValidation>
  </dataValidations>
  <printOptions horizontalCentered="1"/>
  <pageMargins left="0" right="0" top="0" bottom="0" header="0" footer="0"/>
  <pageSetup paperSize="9" scale="34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60" id="{16C1A2BD-9631-40BB-BE44-0250912CB5D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H6:H9 H15:H18</xm:sqref>
        </x14:conditionalFormatting>
        <x14:conditionalFormatting xmlns:xm="http://schemas.microsoft.com/office/excel/2006/main">
          <x14:cfRule type="iconSet" priority="256" id="{252AF106-6E1D-4D7B-9CE3-E6B04C25B951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H10 H13:H14</xm:sqref>
        </x14:conditionalFormatting>
        <x14:conditionalFormatting xmlns:xm="http://schemas.microsoft.com/office/excel/2006/main">
          <x14:cfRule type="iconSet" priority="192" id="{6227EDB0-528C-4088-BDB7-F279DEE296A8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H11</xm:sqref>
        </x14:conditionalFormatting>
        <x14:conditionalFormatting xmlns:xm="http://schemas.microsoft.com/office/excel/2006/main">
          <x14:cfRule type="iconSet" priority="234" id="{3699E203-F877-42A6-8D66-EDFEDFA00341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H12</xm:sqref>
        </x14:conditionalFormatting>
        <x14:conditionalFormatting xmlns:xm="http://schemas.microsoft.com/office/excel/2006/main">
          <x14:cfRule type="iconSet" priority="280" id="{441CBCAE-7825-4C56-ADB4-CB1FD397A3F7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H22:H46</xm:sqref>
        </x14:conditionalFormatting>
        <x14:conditionalFormatting xmlns:xm="http://schemas.microsoft.com/office/excel/2006/main">
          <x14:cfRule type="iconSet" priority="276" id="{3280DCFE-144F-487F-877D-093D0777A36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H48:H58</xm:sqref>
        </x14:conditionalFormatting>
        <x14:conditionalFormatting xmlns:xm="http://schemas.microsoft.com/office/excel/2006/main">
          <x14:cfRule type="iconSet" priority="272" id="{3CAAB613-C31A-4EE4-95FF-115830BF7CFB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H60:H66</xm:sqref>
        </x14:conditionalFormatting>
        <x14:conditionalFormatting xmlns:xm="http://schemas.microsoft.com/office/excel/2006/main">
          <x14:cfRule type="iconSet" priority="264" id="{1B6AEA58-B5DC-48CC-BFFE-4BFF064BC0B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H68:H72 H74:H77</xm:sqref>
        </x14:conditionalFormatting>
        <x14:conditionalFormatting xmlns:xm="http://schemas.microsoft.com/office/excel/2006/main">
          <x14:cfRule type="iconSet" priority="375" id="{46FB8392-8966-49BF-B74F-F8E0E143631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H79:H81</xm:sqref>
        </x14:conditionalFormatting>
        <x14:conditionalFormatting xmlns:xm="http://schemas.microsoft.com/office/excel/2006/main">
          <x14:cfRule type="iconSet" priority="189" id="{62A00FE2-5F43-4D08-8DBC-E4EE9A58F7CD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H83:H85</xm:sqref>
        </x14:conditionalFormatting>
        <x14:conditionalFormatting xmlns:xm="http://schemas.microsoft.com/office/excel/2006/main">
          <x14:cfRule type="iconSet" priority="376" id="{1884371B-7A48-493F-9123-5A8E918E7D7C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H87:H88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F71E-B3A0-4574-B732-CB6385A39462}">
  <sheetPr>
    <pageSetUpPr fitToPage="1"/>
  </sheetPr>
  <dimension ref="A2:G81"/>
  <sheetViews>
    <sheetView showGridLines="0" showZeros="0" view="pageBreakPreview" zoomScale="70" zoomScaleNormal="85" zoomScaleSheetLayoutView="70" workbookViewId="0">
      <selection activeCell="E50" sqref="E50"/>
    </sheetView>
  </sheetViews>
  <sheetFormatPr defaultRowHeight="14.25"/>
  <cols>
    <col min="1" max="1" width="8.625" style="72" customWidth="1"/>
    <col min="2" max="2" width="9" style="72"/>
    <col min="3" max="4" width="13.125" style="72" customWidth="1"/>
    <col min="5" max="5" width="34.625" style="72" customWidth="1"/>
    <col min="6" max="6" width="38" style="72" customWidth="1"/>
    <col min="7" max="7" width="9" style="83"/>
    <col min="8" max="16384" width="9" style="72"/>
  </cols>
  <sheetData>
    <row r="2" spans="1:7" ht="35.25" customHeight="1">
      <c r="A2" s="318" t="s">
        <v>140</v>
      </c>
      <c r="B2" s="318"/>
      <c r="C2" s="318"/>
      <c r="D2" s="318"/>
      <c r="E2" s="318"/>
      <c r="F2" s="318"/>
    </row>
    <row r="3" spans="1:7" ht="30.75" customHeight="1" thickBot="1">
      <c r="A3" s="318"/>
      <c r="B3" s="318"/>
      <c r="C3" s="318"/>
      <c r="D3" s="318"/>
      <c r="E3" s="318"/>
      <c r="F3" s="318"/>
    </row>
    <row r="4" spans="1:7" ht="30.75" hidden="1" customHeight="1">
      <c r="A4" s="73" t="s">
        <v>126</v>
      </c>
      <c r="B4" s="74"/>
      <c r="C4" s="74"/>
      <c r="D4" s="74"/>
      <c r="E4" s="74"/>
      <c r="F4" s="74"/>
    </row>
    <row r="5" spans="1:7" ht="30.75" hidden="1" customHeight="1">
      <c r="A5" s="75" t="s">
        <v>127</v>
      </c>
      <c r="B5" s="74"/>
      <c r="C5" s="74"/>
      <c r="D5" s="74"/>
      <c r="E5" s="74"/>
      <c r="F5" s="74"/>
    </row>
    <row r="6" spans="1:7" ht="30.75" hidden="1" customHeight="1">
      <c r="A6" s="75" t="s">
        <v>128</v>
      </c>
      <c r="B6" s="74"/>
      <c r="C6" s="74"/>
      <c r="D6" s="74"/>
      <c r="E6" s="74"/>
      <c r="F6" s="74"/>
    </row>
    <row r="7" spans="1:7" ht="30.75" hidden="1" customHeight="1">
      <c r="A7" s="75" t="s">
        <v>129</v>
      </c>
      <c r="B7" s="74"/>
      <c r="C7" s="74"/>
      <c r="D7" s="74"/>
      <c r="E7" s="74"/>
      <c r="F7" s="74"/>
    </row>
    <row r="8" spans="1:7" ht="30.75" hidden="1" customHeight="1">
      <c r="A8" s="75" t="s">
        <v>130</v>
      </c>
      <c r="B8" s="74"/>
      <c r="C8" s="74"/>
      <c r="D8" s="74"/>
      <c r="E8" s="74"/>
      <c r="F8" s="74"/>
    </row>
    <row r="9" spans="1:7" ht="30.75" hidden="1" customHeight="1">
      <c r="A9" s="75" t="s">
        <v>131</v>
      </c>
      <c r="B9" s="74"/>
      <c r="C9" s="74"/>
      <c r="D9" s="74"/>
      <c r="E9" s="74"/>
      <c r="F9" s="74"/>
    </row>
    <row r="10" spans="1:7" ht="30.75" hidden="1" customHeight="1">
      <c r="A10" s="75" t="s">
        <v>132</v>
      </c>
      <c r="B10" s="74"/>
      <c r="C10" s="74"/>
      <c r="D10" s="74"/>
      <c r="E10" s="74"/>
      <c r="F10" s="74"/>
    </row>
    <row r="11" spans="1:7" ht="30.75" hidden="1" customHeight="1">
      <c r="A11" s="75" t="s">
        <v>133</v>
      </c>
      <c r="B11" s="74"/>
      <c r="C11" s="74"/>
      <c r="D11" s="74"/>
      <c r="E11" s="74"/>
      <c r="F11" s="74"/>
    </row>
    <row r="12" spans="1:7" ht="30.75" hidden="1" customHeight="1">
      <c r="A12" s="75" t="s">
        <v>134</v>
      </c>
      <c r="B12" s="74"/>
      <c r="C12" s="74"/>
      <c r="D12" s="74"/>
      <c r="E12" s="74"/>
      <c r="F12" s="74"/>
    </row>
    <row r="13" spans="1:7" ht="30.75" hidden="1" customHeight="1" thickBot="1">
      <c r="A13" s="75" t="s">
        <v>135</v>
      </c>
      <c r="B13" s="74"/>
      <c r="C13" s="74"/>
      <c r="D13" s="74"/>
      <c r="E13" s="74"/>
      <c r="F13" s="74"/>
    </row>
    <row r="14" spans="1:7" ht="14.25" customHeight="1">
      <c r="A14" s="322" t="s">
        <v>136</v>
      </c>
      <c r="B14" s="323"/>
      <c r="C14" s="323"/>
      <c r="D14" s="324"/>
      <c r="E14" s="319" t="s">
        <v>141</v>
      </c>
      <c r="F14" s="320" t="s">
        <v>142</v>
      </c>
    </row>
    <row r="15" spans="1:7" ht="14.25" customHeight="1" thickBot="1">
      <c r="A15" s="325"/>
      <c r="B15" s="326"/>
      <c r="C15" s="326"/>
      <c r="D15" s="327"/>
      <c r="E15" s="319"/>
      <c r="F15" s="321"/>
    </row>
    <row r="16" spans="1:7" ht="24.75" thickBot="1">
      <c r="A16" s="328" t="s">
        <v>137</v>
      </c>
      <c r="B16" s="329"/>
      <c r="C16" s="329"/>
      <c r="D16" s="330"/>
      <c r="E16" s="77">
        <f>'통합보장 분석(후)'!E10</f>
        <v>0</v>
      </c>
      <c r="F16" s="78">
        <f>'통합보장 분석(후)'!G10</f>
        <v>0</v>
      </c>
      <c r="G16" s="84">
        <f>F16-E16</f>
        <v>0</v>
      </c>
    </row>
    <row r="17" spans="1:7" ht="24" hidden="1">
      <c r="A17" s="331" t="s">
        <v>181</v>
      </c>
      <c r="B17" s="332"/>
      <c r="C17" s="332"/>
      <c r="D17" s="333"/>
      <c r="E17" s="79">
        <f>'통합보장 분석(후)'!E11</f>
        <v>0</v>
      </c>
      <c r="F17" s="80">
        <f>'통합보장 분석(후)'!G11</f>
        <v>0</v>
      </c>
      <c r="G17" s="135"/>
    </row>
    <row r="18" spans="1:7" ht="24.75" thickBot="1">
      <c r="A18" s="331" t="s">
        <v>138</v>
      </c>
      <c r="B18" s="332"/>
      <c r="C18" s="332"/>
      <c r="D18" s="333"/>
      <c r="E18" s="79">
        <f>'통합보장 분석(후)'!E12</f>
        <v>0</v>
      </c>
      <c r="F18" s="80">
        <f>'통합보장 분석(후)'!G12</f>
        <v>0</v>
      </c>
    </row>
    <row r="19" spans="1:7" ht="24" hidden="1">
      <c r="A19" s="334" t="s">
        <v>152</v>
      </c>
      <c r="B19" s="334"/>
      <c r="C19" s="334"/>
      <c r="D19" s="334"/>
      <c r="E19" s="100">
        <f>'통합보장 분석(후)'!E13</f>
        <v>0</v>
      </c>
      <c r="F19" s="101">
        <f>'통합보장 분석(후)'!G13</f>
        <v>0</v>
      </c>
    </row>
    <row r="20" spans="1:7" ht="24.75" hidden="1" thickBot="1">
      <c r="A20" s="335" t="s">
        <v>182</v>
      </c>
      <c r="B20" s="335"/>
      <c r="C20" s="335"/>
      <c r="D20" s="335"/>
      <c r="E20" s="98">
        <f>'통합보장 분석(후)'!E14</f>
        <v>0</v>
      </c>
      <c r="F20" s="99">
        <f>'통합보장 분석(후)'!G14</f>
        <v>0</v>
      </c>
    </row>
    <row r="21" spans="1:7" ht="24.75" hidden="1" thickBot="1">
      <c r="A21" s="309" t="s">
        <v>180</v>
      </c>
      <c r="B21" s="310"/>
      <c r="C21" s="310"/>
      <c r="D21" s="311"/>
      <c r="E21" s="307">
        <f>F17-E17</f>
        <v>0</v>
      </c>
      <c r="F21" s="308"/>
    </row>
    <row r="22" spans="1:7" ht="24.75" thickBot="1">
      <c r="A22" s="309" t="s">
        <v>139</v>
      </c>
      <c r="B22" s="310"/>
      <c r="C22" s="310"/>
      <c r="D22" s="311"/>
      <c r="E22" s="307">
        <f>F18-E18</f>
        <v>0</v>
      </c>
      <c r="F22" s="308"/>
    </row>
    <row r="23" spans="1:7" ht="11.25" customHeight="1" thickBot="1">
      <c r="A23" s="85"/>
      <c r="B23" s="86"/>
      <c r="C23" s="86"/>
      <c r="D23" s="86"/>
      <c r="E23" s="86"/>
      <c r="F23" s="87"/>
    </row>
    <row r="24" spans="1:7" ht="27" customHeight="1" thickTop="1" thickBot="1">
      <c r="A24" s="350" t="s">
        <v>35</v>
      </c>
      <c r="B24" s="312" t="s">
        <v>22</v>
      </c>
      <c r="C24" s="315" t="s">
        <v>27</v>
      </c>
      <c r="D24" s="315"/>
      <c r="E24" s="81">
        <f>'통합보장 분석(후)'!E22</f>
        <v>0</v>
      </c>
      <c r="F24" s="106">
        <f>'통합보장 분석(후)'!G22</f>
        <v>0</v>
      </c>
      <c r="G24" s="105">
        <f>F24-E24</f>
        <v>0</v>
      </c>
    </row>
    <row r="25" spans="1:7" ht="24.75" thickBot="1">
      <c r="A25" s="351"/>
      <c r="B25" s="313"/>
      <c r="C25" s="315" t="s">
        <v>28</v>
      </c>
      <c r="D25" s="315"/>
      <c r="E25" s="81">
        <f>'통합보장 분석(후)'!E23</f>
        <v>0</v>
      </c>
      <c r="F25" s="107">
        <f>'통합보장 분석(후)'!G23</f>
        <v>0</v>
      </c>
      <c r="G25" s="105">
        <f t="shared" ref="G25:G81" si="0">F25-E25</f>
        <v>0</v>
      </c>
    </row>
    <row r="26" spans="1:7" ht="24.75" hidden="1" customHeight="1" thickBot="1">
      <c r="A26" s="351"/>
      <c r="B26" s="313"/>
      <c r="C26" s="316" t="s">
        <v>78</v>
      </c>
      <c r="D26" s="316"/>
      <c r="E26" s="81">
        <f>'통합보장 분석(후)'!E24</f>
        <v>0</v>
      </c>
      <c r="F26" s="107">
        <f>'통합보장 분석(후)'!G24</f>
        <v>0</v>
      </c>
      <c r="G26" s="105">
        <f t="shared" si="0"/>
        <v>0</v>
      </c>
    </row>
    <row r="27" spans="1:7" ht="24.75" hidden="1" customHeight="1" thickBot="1">
      <c r="A27" s="351"/>
      <c r="B27" s="313"/>
      <c r="C27" s="315" t="s">
        <v>76</v>
      </c>
      <c r="D27" s="315"/>
      <c r="E27" s="81">
        <f>'통합보장 분석(후)'!E25</f>
        <v>0</v>
      </c>
      <c r="F27" s="107">
        <f>'통합보장 분석(후)'!G25</f>
        <v>0</v>
      </c>
      <c r="G27" s="105">
        <f t="shared" si="0"/>
        <v>0</v>
      </c>
    </row>
    <row r="28" spans="1:7" ht="24.75" hidden="1" customHeight="1" thickBot="1">
      <c r="A28" s="351"/>
      <c r="B28" s="313"/>
      <c r="C28" s="346" t="s">
        <v>114</v>
      </c>
      <c r="D28" s="347"/>
      <c r="E28" s="81">
        <f>'통합보장 분석(후)'!E26</f>
        <v>0</v>
      </c>
      <c r="F28" s="107">
        <f>'통합보장 분석(후)'!G26</f>
        <v>0</v>
      </c>
      <c r="G28" s="105">
        <f t="shared" si="0"/>
        <v>0</v>
      </c>
    </row>
    <row r="29" spans="1:7" ht="27" hidden="1" customHeight="1" thickBot="1">
      <c r="A29" s="351"/>
      <c r="B29" s="313"/>
      <c r="C29" s="317" t="s">
        <v>77</v>
      </c>
      <c r="D29" s="315"/>
      <c r="E29" s="81">
        <f>'통합보장 분석(후)'!E27</f>
        <v>0</v>
      </c>
      <c r="F29" s="107">
        <f>'통합보장 분석(후)'!G27</f>
        <v>0</v>
      </c>
      <c r="G29" s="105">
        <f t="shared" si="0"/>
        <v>0</v>
      </c>
    </row>
    <row r="30" spans="1:7" ht="24.75" thickBot="1">
      <c r="A30" s="351"/>
      <c r="B30" s="313"/>
      <c r="C30" s="317" t="s">
        <v>29</v>
      </c>
      <c r="D30" s="315"/>
      <c r="E30" s="81">
        <f>'통합보장 분석(후)'!E28</f>
        <v>0</v>
      </c>
      <c r="F30" s="107">
        <f>'통합보장 분석(후)'!G28</f>
        <v>0</v>
      </c>
      <c r="G30" s="105">
        <f t="shared" si="0"/>
        <v>0</v>
      </c>
    </row>
    <row r="31" spans="1:7" s="76" customFormat="1" ht="24.75" thickBot="1">
      <c r="A31" s="351"/>
      <c r="B31" s="313"/>
      <c r="C31" s="304" t="s">
        <v>13</v>
      </c>
      <c r="D31" s="304"/>
      <c r="E31" s="81">
        <f>'통합보장 분석(후)'!E29</f>
        <v>0</v>
      </c>
      <c r="F31" s="107">
        <f>'통합보장 분석(후)'!G29</f>
        <v>0</v>
      </c>
      <c r="G31" s="105">
        <f t="shared" si="0"/>
        <v>0</v>
      </c>
    </row>
    <row r="32" spans="1:7" s="76" customFormat="1" ht="24.75" thickBot="1">
      <c r="A32" s="351"/>
      <c r="B32" s="313"/>
      <c r="C32" s="305" t="s">
        <v>58</v>
      </c>
      <c r="D32" s="306"/>
      <c r="E32" s="81">
        <f>'통합보장 분석(후)'!E30</f>
        <v>0</v>
      </c>
      <c r="F32" s="107">
        <f>'통합보장 분석(후)'!G30</f>
        <v>0</v>
      </c>
      <c r="G32" s="105">
        <f t="shared" si="0"/>
        <v>0</v>
      </c>
    </row>
    <row r="33" spans="1:7" s="76" customFormat="1" ht="24.75" thickBot="1">
      <c r="A33" s="351"/>
      <c r="B33" s="313"/>
      <c r="C33" s="305" t="s">
        <v>190</v>
      </c>
      <c r="D33" s="306"/>
      <c r="E33" s="81">
        <f>'통합보장 분석(후)'!E31</f>
        <v>0</v>
      </c>
      <c r="F33" s="107">
        <f>'통합보장 분석(후)'!G31</f>
        <v>0</v>
      </c>
      <c r="G33" s="105"/>
    </row>
    <row r="34" spans="1:7" s="76" customFormat="1" ht="24.75" customHeight="1" thickBot="1">
      <c r="A34" s="351"/>
      <c r="B34" s="314"/>
      <c r="C34" s="348" t="s">
        <v>30</v>
      </c>
      <c r="D34" s="349"/>
      <c r="E34" s="81">
        <f>'통합보장 분석(후)'!E32</f>
        <v>0</v>
      </c>
      <c r="F34" s="107">
        <f>'통합보장 분석(후)'!G32</f>
        <v>0</v>
      </c>
      <c r="G34" s="105">
        <f t="shared" si="0"/>
        <v>0</v>
      </c>
    </row>
    <row r="35" spans="1:7" s="76" customFormat="1" ht="24.75" thickBot="1">
      <c r="A35" s="351"/>
      <c r="B35" s="312" t="s">
        <v>23</v>
      </c>
      <c r="C35" s="315" t="s">
        <v>24</v>
      </c>
      <c r="D35" s="315"/>
      <c r="E35" s="81">
        <f>'통합보장 분석(후)'!E33</f>
        <v>0</v>
      </c>
      <c r="F35" s="107">
        <f>'통합보장 분석(후)'!G33</f>
        <v>0</v>
      </c>
      <c r="G35" s="105">
        <f t="shared" si="0"/>
        <v>0</v>
      </c>
    </row>
    <row r="36" spans="1:7" s="76" customFormat="1" ht="24.75" thickBot="1">
      <c r="A36" s="351"/>
      <c r="B36" s="313"/>
      <c r="C36" s="315" t="s">
        <v>25</v>
      </c>
      <c r="D36" s="315"/>
      <c r="E36" s="81">
        <f>'통합보장 분석(후)'!E34</f>
        <v>0</v>
      </c>
      <c r="F36" s="107">
        <f>'통합보장 분석(후)'!G34</f>
        <v>0</v>
      </c>
      <c r="G36" s="105">
        <f t="shared" si="0"/>
        <v>0</v>
      </c>
    </row>
    <row r="37" spans="1:7" s="76" customFormat="1" ht="24.75" thickBot="1">
      <c r="A37" s="351"/>
      <c r="B37" s="313"/>
      <c r="C37" s="315" t="s">
        <v>26</v>
      </c>
      <c r="D37" s="315"/>
      <c r="E37" s="81">
        <f>'통합보장 분석(후)'!E35</f>
        <v>0</v>
      </c>
      <c r="F37" s="107">
        <f>'통합보장 분석(후)'!G35</f>
        <v>0</v>
      </c>
      <c r="G37" s="105">
        <f t="shared" si="0"/>
        <v>0</v>
      </c>
    </row>
    <row r="38" spans="1:7" s="76" customFormat="1" ht="24.75" thickBot="1">
      <c r="A38" s="351"/>
      <c r="B38" s="313"/>
      <c r="C38" s="315" t="s">
        <v>115</v>
      </c>
      <c r="D38" s="315"/>
      <c r="E38" s="81">
        <f>'통합보장 분석(후)'!E36</f>
        <v>0</v>
      </c>
      <c r="F38" s="107">
        <f>'통합보장 분석(후)'!G36</f>
        <v>0</v>
      </c>
      <c r="G38" s="105">
        <f t="shared" si="0"/>
        <v>0</v>
      </c>
    </row>
    <row r="39" spans="1:7" s="76" customFormat="1" ht="24.75" thickBot="1">
      <c r="A39" s="351"/>
      <c r="B39" s="313"/>
      <c r="C39" s="304" t="s">
        <v>13</v>
      </c>
      <c r="D39" s="304"/>
      <c r="E39" s="81">
        <f>'통합보장 분석(후)'!E37</f>
        <v>0</v>
      </c>
      <c r="F39" s="107">
        <f>'통합보장 분석(후)'!G37</f>
        <v>0</v>
      </c>
      <c r="G39" s="105">
        <f t="shared" si="0"/>
        <v>0</v>
      </c>
    </row>
    <row r="40" spans="1:7" s="76" customFormat="1" ht="24.75" thickBot="1">
      <c r="A40" s="351"/>
      <c r="B40" s="313"/>
      <c r="C40" s="304" t="s">
        <v>191</v>
      </c>
      <c r="D40" s="304"/>
      <c r="E40" s="81">
        <f>'통합보장 분석(후)'!E38</f>
        <v>0</v>
      </c>
      <c r="F40" s="107"/>
      <c r="G40" s="105"/>
    </row>
    <row r="41" spans="1:7" s="76" customFormat="1" ht="24.75" thickBot="1">
      <c r="A41" s="351"/>
      <c r="B41" s="314"/>
      <c r="C41" s="304" t="s">
        <v>30</v>
      </c>
      <c r="D41" s="304"/>
      <c r="E41" s="81">
        <f>'통합보장 분석(후)'!E39</f>
        <v>0</v>
      </c>
      <c r="F41" s="107">
        <f>'통합보장 분석(후)'!G39</f>
        <v>0</v>
      </c>
      <c r="G41" s="105">
        <f t="shared" si="0"/>
        <v>0</v>
      </c>
    </row>
    <row r="42" spans="1:7" s="76" customFormat="1" ht="24.75" thickBot="1">
      <c r="A42" s="351"/>
      <c r="B42" s="312" t="s">
        <v>31</v>
      </c>
      <c r="C42" s="315" t="s">
        <v>32</v>
      </c>
      <c r="D42" s="315"/>
      <c r="E42" s="81">
        <f>'통합보장 분석(후)'!E40</f>
        <v>0</v>
      </c>
      <c r="F42" s="107">
        <f>'통합보장 분석(후)'!G40</f>
        <v>0</v>
      </c>
      <c r="G42" s="105">
        <f t="shared" si="0"/>
        <v>0</v>
      </c>
    </row>
    <row r="43" spans="1:7" s="76" customFormat="1" ht="24.75" thickBot="1">
      <c r="A43" s="351"/>
      <c r="B43" s="313"/>
      <c r="C43" s="315" t="s">
        <v>33</v>
      </c>
      <c r="D43" s="315"/>
      <c r="E43" s="81">
        <f>'통합보장 분석(후)'!E41</f>
        <v>0</v>
      </c>
      <c r="F43" s="107">
        <f>'통합보장 분석(후)'!G41</f>
        <v>0</v>
      </c>
      <c r="G43" s="105">
        <f t="shared" si="0"/>
        <v>0</v>
      </c>
    </row>
    <row r="44" spans="1:7" s="76" customFormat="1" ht="24.75" thickBot="1">
      <c r="A44" s="351"/>
      <c r="B44" s="313"/>
      <c r="C44" s="315" t="s">
        <v>34</v>
      </c>
      <c r="D44" s="315"/>
      <c r="E44" s="81">
        <f>'통합보장 분석(후)'!E42</f>
        <v>0</v>
      </c>
      <c r="F44" s="107">
        <f>'통합보장 분석(후)'!G42</f>
        <v>0</v>
      </c>
      <c r="G44" s="105">
        <f t="shared" si="0"/>
        <v>0</v>
      </c>
    </row>
    <row r="45" spans="1:7" s="76" customFormat="1" ht="24.75" thickBot="1">
      <c r="A45" s="351"/>
      <c r="B45" s="313"/>
      <c r="C45" s="315" t="s">
        <v>116</v>
      </c>
      <c r="D45" s="315"/>
      <c r="E45" s="81">
        <f>'통합보장 분석(후)'!E43</f>
        <v>0</v>
      </c>
      <c r="F45" s="107">
        <f>'통합보장 분석(후)'!G43</f>
        <v>0</v>
      </c>
      <c r="G45" s="105">
        <f t="shared" si="0"/>
        <v>0</v>
      </c>
    </row>
    <row r="46" spans="1:7" s="76" customFormat="1" ht="24.75" thickBot="1">
      <c r="A46" s="351"/>
      <c r="B46" s="313"/>
      <c r="C46" s="304" t="s">
        <v>13</v>
      </c>
      <c r="D46" s="304"/>
      <c r="E46" s="81">
        <f>'통합보장 분석(후)'!E44</f>
        <v>0</v>
      </c>
      <c r="F46" s="107">
        <f>'통합보장 분석(후)'!G44</f>
        <v>0</v>
      </c>
      <c r="G46" s="105">
        <f t="shared" si="0"/>
        <v>0</v>
      </c>
    </row>
    <row r="47" spans="1:7" s="76" customFormat="1" ht="24.75" thickBot="1">
      <c r="A47" s="351"/>
      <c r="B47" s="313"/>
      <c r="C47" s="304" t="s">
        <v>191</v>
      </c>
      <c r="D47" s="304"/>
      <c r="E47" s="81">
        <f>'통합보장 분석(후)'!E45</f>
        <v>0</v>
      </c>
      <c r="F47" s="107"/>
      <c r="G47" s="105"/>
    </row>
    <row r="48" spans="1:7" s="76" customFormat="1" ht="24.75" thickBot="1">
      <c r="A48" s="352"/>
      <c r="B48" s="314"/>
      <c r="C48" s="304" t="s">
        <v>30</v>
      </c>
      <c r="D48" s="304"/>
      <c r="E48" s="81">
        <f>'통합보장 분석(후)'!E46</f>
        <v>0</v>
      </c>
      <c r="F48" s="107">
        <f>'통합보장 분석(후)'!G46</f>
        <v>0</v>
      </c>
      <c r="G48" s="105">
        <f t="shared" si="0"/>
        <v>0</v>
      </c>
    </row>
    <row r="49" spans="1:7" s="76" customFormat="1" ht="6" customHeight="1" thickBot="1">
      <c r="F49" s="108"/>
      <c r="G49" s="105">
        <f t="shared" si="0"/>
        <v>0</v>
      </c>
    </row>
    <row r="50" spans="1:7" s="76" customFormat="1" ht="24.75" thickBot="1">
      <c r="A50" s="336" t="s">
        <v>13</v>
      </c>
      <c r="B50" s="339" t="s">
        <v>37</v>
      </c>
      <c r="C50" s="342" t="s">
        <v>13</v>
      </c>
      <c r="D50" s="343"/>
      <c r="E50" s="81">
        <f>'통합보장 분석(후)'!E48</f>
        <v>0</v>
      </c>
      <c r="F50" s="107">
        <f>'통합보장 분석(후)'!G48</f>
        <v>0</v>
      </c>
      <c r="G50" s="105">
        <f t="shared" si="0"/>
        <v>0</v>
      </c>
    </row>
    <row r="51" spans="1:7" s="76" customFormat="1" ht="24.75" thickBot="1">
      <c r="A51" s="337"/>
      <c r="B51" s="340"/>
      <c r="C51" s="344" t="s">
        <v>121</v>
      </c>
      <c r="D51" s="345"/>
      <c r="E51" s="81">
        <f>'통합보장 분석(후)'!E49</f>
        <v>0</v>
      </c>
      <c r="F51" s="107">
        <f>'통합보장 분석(후)'!G49</f>
        <v>0</v>
      </c>
      <c r="G51" s="105">
        <f t="shared" si="0"/>
        <v>0</v>
      </c>
    </row>
    <row r="52" spans="1:7" ht="24.75" thickBot="1">
      <c r="A52" s="337"/>
      <c r="B52" s="340"/>
      <c r="C52" s="344" t="s">
        <v>179</v>
      </c>
      <c r="D52" s="345"/>
      <c r="E52" s="81">
        <f>'통합보장 분석(후)'!E50</f>
        <v>0</v>
      </c>
      <c r="F52" s="107">
        <f>'통합보장 분석(후)'!G50</f>
        <v>0</v>
      </c>
      <c r="G52" s="105">
        <f t="shared" si="0"/>
        <v>0</v>
      </c>
    </row>
    <row r="53" spans="1:7" ht="24.75" hidden="1" thickBot="1">
      <c r="A53" s="337"/>
      <c r="B53" s="341"/>
      <c r="C53" s="344" t="s">
        <v>122</v>
      </c>
      <c r="D53" s="345"/>
      <c r="E53" s="81">
        <f>'통합보장 분석(후)'!E51</f>
        <v>0</v>
      </c>
      <c r="F53" s="107">
        <f>'통합보장 분석(후)'!G51</f>
        <v>0</v>
      </c>
      <c r="G53" s="105">
        <f t="shared" si="0"/>
        <v>0</v>
      </c>
    </row>
    <row r="54" spans="1:7" ht="24.75" thickBot="1">
      <c r="A54" s="337"/>
      <c r="B54" s="339" t="s">
        <v>38</v>
      </c>
      <c r="C54" s="342" t="s">
        <v>13</v>
      </c>
      <c r="D54" s="343"/>
      <c r="E54" s="81">
        <f>'통합보장 분석(후)'!E52</f>
        <v>0</v>
      </c>
      <c r="F54" s="107">
        <f>'통합보장 분석(후)'!G52</f>
        <v>0</v>
      </c>
      <c r="G54" s="105">
        <f t="shared" si="0"/>
        <v>0</v>
      </c>
    </row>
    <row r="55" spans="1:7" ht="24.75" thickBot="1">
      <c r="A55" s="337"/>
      <c r="B55" s="340"/>
      <c r="C55" s="344" t="s">
        <v>121</v>
      </c>
      <c r="D55" s="345"/>
      <c r="E55" s="81">
        <f>'통합보장 분석(후)'!E53</f>
        <v>0</v>
      </c>
      <c r="F55" s="107">
        <f>'통합보장 분석(후)'!G53</f>
        <v>0</v>
      </c>
      <c r="G55" s="105">
        <f t="shared" si="0"/>
        <v>0</v>
      </c>
    </row>
    <row r="56" spans="1:7" s="76" customFormat="1" ht="24.75" thickBot="1">
      <c r="A56" s="337"/>
      <c r="B56" s="340"/>
      <c r="C56" s="344" t="s">
        <v>179</v>
      </c>
      <c r="D56" s="345"/>
      <c r="E56" s="81">
        <f>'통합보장 분석(후)'!E54</f>
        <v>0</v>
      </c>
      <c r="F56" s="107">
        <f>'통합보장 분석(후)'!G54</f>
        <v>0</v>
      </c>
      <c r="G56" s="105">
        <f t="shared" si="0"/>
        <v>0</v>
      </c>
    </row>
    <row r="57" spans="1:7" s="76" customFormat="1" ht="24.75" hidden="1" thickBot="1">
      <c r="A57" s="337"/>
      <c r="B57" s="340"/>
      <c r="C57" s="344" t="s">
        <v>122</v>
      </c>
      <c r="D57" s="345"/>
      <c r="E57" s="81">
        <f>'통합보장 분석(후)'!E55</f>
        <v>0</v>
      </c>
      <c r="F57" s="107">
        <f>'통합보장 분석(후)'!G55</f>
        <v>0</v>
      </c>
      <c r="G57" s="105">
        <f t="shared" si="0"/>
        <v>0</v>
      </c>
    </row>
    <row r="58" spans="1:7" s="76" customFormat="1" ht="24.75" thickBot="1">
      <c r="A58" s="338"/>
      <c r="B58" s="341"/>
      <c r="C58" s="342" t="s">
        <v>39</v>
      </c>
      <c r="D58" s="343"/>
      <c r="E58" s="81">
        <f>'통합보장 분석(후)'!E56</f>
        <v>0</v>
      </c>
      <c r="F58" s="107">
        <f>'통합보장 분석(후)'!G56</f>
        <v>0</v>
      </c>
      <c r="G58" s="105">
        <f t="shared" si="0"/>
        <v>0</v>
      </c>
    </row>
    <row r="59" spans="1:7" s="76" customFormat="1" ht="24.75" thickBot="1">
      <c r="A59" s="353" t="s">
        <v>14</v>
      </c>
      <c r="B59" s="355" t="s">
        <v>40</v>
      </c>
      <c r="C59" s="356"/>
      <c r="D59" s="357"/>
      <c r="E59" s="81">
        <f>'통합보장 분석(후)'!E57</f>
        <v>0</v>
      </c>
      <c r="F59" s="107">
        <f>'통합보장 분석(후)'!G57</f>
        <v>0</v>
      </c>
      <c r="G59" s="105">
        <f t="shared" si="0"/>
        <v>0</v>
      </c>
    </row>
    <row r="60" spans="1:7" s="76" customFormat="1" ht="24.75" thickBot="1">
      <c r="A60" s="354"/>
      <c r="B60" s="355" t="s">
        <v>15</v>
      </c>
      <c r="C60" s="356"/>
      <c r="D60" s="357"/>
      <c r="E60" s="81">
        <f>'통합보장 분석(후)'!E58</f>
        <v>0</v>
      </c>
      <c r="F60" s="107">
        <f>'통합보장 분석(후)'!G58</f>
        <v>0</v>
      </c>
      <c r="G60" s="105">
        <f t="shared" si="0"/>
        <v>0</v>
      </c>
    </row>
    <row r="61" spans="1:7" s="76" customFormat="1" ht="6" customHeight="1" thickBot="1">
      <c r="F61" s="108"/>
      <c r="G61" s="105">
        <f t="shared" si="0"/>
        <v>0</v>
      </c>
    </row>
    <row r="62" spans="1:7" s="76" customFormat="1" ht="24.75" thickBot="1">
      <c r="A62" s="358" t="s">
        <v>37</v>
      </c>
      <c r="B62" s="361" t="s">
        <v>42</v>
      </c>
      <c r="C62" s="362"/>
      <c r="D62" s="363"/>
      <c r="E62" s="81">
        <f>'통합보장 분석(후)'!E60</f>
        <v>0</v>
      </c>
      <c r="F62" s="107">
        <f>'통합보장 분석(후)'!G60</f>
        <v>0</v>
      </c>
      <c r="G62" s="105">
        <f t="shared" si="0"/>
        <v>0</v>
      </c>
    </row>
    <row r="63" spans="1:7" ht="24.75" thickBot="1">
      <c r="A63" s="359"/>
      <c r="B63" s="361" t="s">
        <v>43</v>
      </c>
      <c r="C63" s="362"/>
      <c r="D63" s="363"/>
      <c r="E63" s="81">
        <f>'통합보장 분석(후)'!E61</f>
        <v>0</v>
      </c>
      <c r="F63" s="107">
        <f>'통합보장 분석(후)'!G61</f>
        <v>0</v>
      </c>
      <c r="G63" s="105">
        <f t="shared" si="0"/>
        <v>0</v>
      </c>
    </row>
    <row r="64" spans="1:7" ht="24.75" thickBot="1">
      <c r="A64" s="359"/>
      <c r="B64" s="361" t="s">
        <v>44</v>
      </c>
      <c r="C64" s="362"/>
      <c r="D64" s="363"/>
      <c r="E64" s="81">
        <f>'통합보장 분석(후)'!E62</f>
        <v>0</v>
      </c>
      <c r="F64" s="107">
        <f>'통합보장 분석(후)'!G62</f>
        <v>0</v>
      </c>
      <c r="G64" s="105">
        <f t="shared" si="0"/>
        <v>0</v>
      </c>
    </row>
    <row r="65" spans="1:7" ht="24.75" thickBot="1">
      <c r="A65" s="360"/>
      <c r="B65" s="361" t="s">
        <v>45</v>
      </c>
      <c r="C65" s="362"/>
      <c r="D65" s="363"/>
      <c r="E65" s="81">
        <f>'통합보장 분석(후)'!E63</f>
        <v>0</v>
      </c>
      <c r="F65" s="107">
        <f>'통합보장 분석(후)'!G63</f>
        <v>0</v>
      </c>
      <c r="G65" s="105">
        <f t="shared" si="0"/>
        <v>0</v>
      </c>
    </row>
    <row r="66" spans="1:7" ht="24.75" thickBot="1">
      <c r="A66" s="364" t="s">
        <v>16</v>
      </c>
      <c r="B66" s="365"/>
      <c r="C66" s="365"/>
      <c r="D66" s="366"/>
      <c r="E66" s="81">
        <f>'통합보장 분석(후)'!E64</f>
        <v>0</v>
      </c>
      <c r="F66" s="107">
        <f>'통합보장 분석(후)'!G64</f>
        <v>0</v>
      </c>
      <c r="G66" s="105">
        <f t="shared" si="0"/>
        <v>0</v>
      </c>
    </row>
    <row r="67" spans="1:7" ht="24.75" thickBot="1">
      <c r="A67" s="367" t="s">
        <v>46</v>
      </c>
      <c r="B67" s="369" t="s">
        <v>12</v>
      </c>
      <c r="C67" s="370"/>
      <c r="D67" s="371"/>
      <c r="E67" s="81">
        <f>'통합보장 분석(후)'!E65</f>
        <v>0</v>
      </c>
      <c r="F67" s="107">
        <f>'통합보장 분석(후)'!G65</f>
        <v>0</v>
      </c>
      <c r="G67" s="105">
        <f t="shared" si="0"/>
        <v>0</v>
      </c>
    </row>
    <row r="68" spans="1:7" ht="24.75" thickBot="1">
      <c r="A68" s="368"/>
      <c r="B68" s="369" t="s">
        <v>11</v>
      </c>
      <c r="C68" s="370"/>
      <c r="D68" s="371"/>
      <c r="E68" s="81">
        <f>'통합보장 분석(후)'!E66</f>
        <v>0</v>
      </c>
      <c r="F68" s="107">
        <f>'통합보장 분석(후)'!G66</f>
        <v>0</v>
      </c>
      <c r="G68" s="105">
        <f t="shared" si="0"/>
        <v>0</v>
      </c>
    </row>
    <row r="69" spans="1:7" s="76" customFormat="1" ht="6" customHeight="1" thickBot="1">
      <c r="F69" s="108"/>
      <c r="G69" s="105">
        <f t="shared" si="0"/>
        <v>0</v>
      </c>
    </row>
    <row r="70" spans="1:7" ht="24.75" thickBot="1">
      <c r="A70" s="372" t="s">
        <v>47</v>
      </c>
      <c r="B70" s="375" t="s">
        <v>8</v>
      </c>
      <c r="C70" s="376"/>
      <c r="D70" s="377"/>
      <c r="E70" s="81">
        <f>'통합보장 분석(후)'!E68</f>
        <v>0</v>
      </c>
      <c r="F70" s="107">
        <f>'통합보장 분석(후)'!G68</f>
        <v>0</v>
      </c>
      <c r="G70" s="105">
        <f t="shared" si="0"/>
        <v>0</v>
      </c>
    </row>
    <row r="71" spans="1:7" ht="24.75" thickBot="1">
      <c r="A71" s="373"/>
      <c r="B71" s="375" t="s">
        <v>9</v>
      </c>
      <c r="C71" s="376"/>
      <c r="D71" s="377"/>
      <c r="E71" s="81">
        <f>'통합보장 분석(후)'!E71</f>
        <v>0</v>
      </c>
      <c r="F71" s="107">
        <f>'통합보장 분석(후)'!G71</f>
        <v>0</v>
      </c>
      <c r="G71" s="105">
        <f t="shared" si="0"/>
        <v>0</v>
      </c>
    </row>
    <row r="72" spans="1:7" ht="24.75" thickBot="1">
      <c r="A72" s="374"/>
      <c r="B72" s="375" t="s">
        <v>10</v>
      </c>
      <c r="C72" s="376"/>
      <c r="D72" s="377"/>
      <c r="E72" s="81">
        <f>'통합보장 분석(후)'!E72</f>
        <v>0</v>
      </c>
      <c r="F72" s="107">
        <f>'통합보장 분석(후)'!G72</f>
        <v>0</v>
      </c>
      <c r="G72" s="105">
        <f t="shared" si="0"/>
        <v>0</v>
      </c>
    </row>
    <row r="73" spans="1:7" s="76" customFormat="1" ht="6" customHeight="1" thickBot="1">
      <c r="A73" s="82"/>
      <c r="B73" s="82"/>
      <c r="C73" s="82"/>
      <c r="D73" s="82"/>
      <c r="F73" s="108"/>
      <c r="G73" s="105">
        <f t="shared" si="0"/>
        <v>0</v>
      </c>
    </row>
    <row r="74" spans="1:7" ht="24.75" thickBot="1">
      <c r="A74" s="387" t="s">
        <v>52</v>
      </c>
      <c r="B74" s="378" t="s">
        <v>53</v>
      </c>
      <c r="C74" s="379"/>
      <c r="D74" s="380"/>
      <c r="E74" s="81">
        <f>'통합보장 분석(후)'!E74</f>
        <v>0</v>
      </c>
      <c r="F74" s="107">
        <f>'통합보장 분석(후)'!G74</f>
        <v>0</v>
      </c>
      <c r="G74" s="105">
        <f t="shared" si="0"/>
        <v>0</v>
      </c>
    </row>
    <row r="75" spans="1:7" ht="24.75" thickBot="1">
      <c r="A75" s="388"/>
      <c r="B75" s="378" t="s">
        <v>54</v>
      </c>
      <c r="C75" s="379"/>
      <c r="D75" s="380"/>
      <c r="E75" s="81">
        <f>'통합보장 분석(후)'!E75</f>
        <v>0</v>
      </c>
      <c r="F75" s="107">
        <f>'통합보장 분석(후)'!G75</f>
        <v>0</v>
      </c>
      <c r="G75" s="105">
        <f t="shared" si="0"/>
        <v>0</v>
      </c>
    </row>
    <row r="76" spans="1:7" ht="24.75" thickBot="1">
      <c r="A76" s="388"/>
      <c r="B76" s="378" t="s">
        <v>55</v>
      </c>
      <c r="C76" s="379"/>
      <c r="D76" s="380"/>
      <c r="E76" s="81">
        <f>'통합보장 분석(후)'!E76</f>
        <v>0</v>
      </c>
      <c r="F76" s="107">
        <f>'통합보장 분석(후)'!G76</f>
        <v>0</v>
      </c>
      <c r="G76" s="105">
        <f t="shared" si="0"/>
        <v>0</v>
      </c>
    </row>
    <row r="77" spans="1:7" ht="24.75" thickBot="1">
      <c r="A77" s="389"/>
      <c r="B77" s="378" t="s">
        <v>75</v>
      </c>
      <c r="C77" s="379"/>
      <c r="D77" s="380"/>
      <c r="E77" s="81">
        <f>'통합보장 분석(후)'!E77</f>
        <v>0</v>
      </c>
      <c r="F77" s="107">
        <f>'통합보장 분석(후)'!G77</f>
        <v>0</v>
      </c>
      <c r="G77" s="105">
        <f t="shared" si="0"/>
        <v>0</v>
      </c>
    </row>
    <row r="78" spans="1:7" s="76" customFormat="1" ht="6" customHeight="1" thickBot="1">
      <c r="A78" s="82"/>
      <c r="B78" s="82"/>
      <c r="C78" s="82"/>
      <c r="D78" s="82"/>
      <c r="F78" s="108"/>
      <c r="G78" s="105">
        <f t="shared" si="0"/>
        <v>0</v>
      </c>
    </row>
    <row r="79" spans="1:7" ht="24.75" thickBot="1">
      <c r="A79" s="381" t="s">
        <v>117</v>
      </c>
      <c r="B79" s="384" t="s">
        <v>118</v>
      </c>
      <c r="C79" s="385"/>
      <c r="D79" s="386"/>
      <c r="E79" s="81">
        <f>'통합보장 분석(후)'!E79</f>
        <v>0</v>
      </c>
      <c r="F79" s="107">
        <f>'통합보장 분석(후)'!G79</f>
        <v>0</v>
      </c>
      <c r="G79" s="105">
        <f t="shared" si="0"/>
        <v>0</v>
      </c>
    </row>
    <row r="80" spans="1:7" ht="24.75" thickBot="1">
      <c r="A80" s="382"/>
      <c r="B80" s="384" t="s">
        <v>119</v>
      </c>
      <c r="C80" s="385"/>
      <c r="D80" s="386"/>
      <c r="E80" s="81">
        <f>'통합보장 분석(후)'!E80</f>
        <v>0</v>
      </c>
      <c r="F80" s="107">
        <f>'통합보장 분석(후)'!G80</f>
        <v>0</v>
      </c>
      <c r="G80" s="105">
        <f t="shared" si="0"/>
        <v>0</v>
      </c>
    </row>
    <row r="81" spans="1:7" ht="24.75" thickBot="1">
      <c r="A81" s="383"/>
      <c r="B81" s="384" t="s">
        <v>120</v>
      </c>
      <c r="C81" s="385"/>
      <c r="D81" s="386"/>
      <c r="E81" s="81">
        <f>'통합보장 분석(후)'!E81</f>
        <v>0</v>
      </c>
      <c r="F81" s="109">
        <f>'통합보장 분석(후)'!G81</f>
        <v>0</v>
      </c>
      <c r="G81" s="105">
        <f t="shared" si="0"/>
        <v>0</v>
      </c>
    </row>
  </sheetData>
  <mergeCells count="79">
    <mergeCell ref="B77:D77"/>
    <mergeCell ref="A79:A81"/>
    <mergeCell ref="B79:D79"/>
    <mergeCell ref="B80:D80"/>
    <mergeCell ref="B81:D81"/>
    <mergeCell ref="A74:A77"/>
    <mergeCell ref="B74:D74"/>
    <mergeCell ref="B75:D75"/>
    <mergeCell ref="B76:D76"/>
    <mergeCell ref="A66:D66"/>
    <mergeCell ref="A67:A68"/>
    <mergeCell ref="B67:D67"/>
    <mergeCell ref="B68:D68"/>
    <mergeCell ref="A70:A72"/>
    <mergeCell ref="B70:D70"/>
    <mergeCell ref="B71:D71"/>
    <mergeCell ref="B72:D72"/>
    <mergeCell ref="A59:A60"/>
    <mergeCell ref="B59:D59"/>
    <mergeCell ref="B60:D60"/>
    <mergeCell ref="A62:A65"/>
    <mergeCell ref="B62:D62"/>
    <mergeCell ref="B63:D63"/>
    <mergeCell ref="B64:D64"/>
    <mergeCell ref="B65:D65"/>
    <mergeCell ref="C53:D53"/>
    <mergeCell ref="B54:B58"/>
    <mergeCell ref="C54:D54"/>
    <mergeCell ref="C55:D55"/>
    <mergeCell ref="C56:D56"/>
    <mergeCell ref="C57:D57"/>
    <mergeCell ref="C58:D58"/>
    <mergeCell ref="C44:D44"/>
    <mergeCell ref="C45:D45"/>
    <mergeCell ref="C46:D46"/>
    <mergeCell ref="C48:D48"/>
    <mergeCell ref="C52:D52"/>
    <mergeCell ref="E21:F21"/>
    <mergeCell ref="A50:A58"/>
    <mergeCell ref="B50:B53"/>
    <mergeCell ref="C50:D50"/>
    <mergeCell ref="C51:D51"/>
    <mergeCell ref="C28:D28"/>
    <mergeCell ref="C30:D30"/>
    <mergeCell ref="C31:D31"/>
    <mergeCell ref="C32:D32"/>
    <mergeCell ref="C34:D34"/>
    <mergeCell ref="B35:B41"/>
    <mergeCell ref="C35:D35"/>
    <mergeCell ref="C36:D36"/>
    <mergeCell ref="C37:D37"/>
    <mergeCell ref="C38:D38"/>
    <mergeCell ref="A24:A48"/>
    <mergeCell ref="A18:D18"/>
    <mergeCell ref="A19:D19"/>
    <mergeCell ref="A20:D20"/>
    <mergeCell ref="A17:D17"/>
    <mergeCell ref="A21:D21"/>
    <mergeCell ref="A2:F3"/>
    <mergeCell ref="E14:E15"/>
    <mergeCell ref="F14:F15"/>
    <mergeCell ref="A14:D15"/>
    <mergeCell ref="A16:D16"/>
    <mergeCell ref="C40:D40"/>
    <mergeCell ref="C47:D47"/>
    <mergeCell ref="C33:D33"/>
    <mergeCell ref="E22:F22"/>
    <mergeCell ref="A22:D22"/>
    <mergeCell ref="B24:B34"/>
    <mergeCell ref="C24:D24"/>
    <mergeCell ref="C25:D25"/>
    <mergeCell ref="C26:D26"/>
    <mergeCell ref="C27:D27"/>
    <mergeCell ref="C39:D39"/>
    <mergeCell ref="C29:D29"/>
    <mergeCell ref="C41:D41"/>
    <mergeCell ref="B42:B48"/>
    <mergeCell ref="C42:D42"/>
    <mergeCell ref="C43:D43"/>
  </mergeCells>
  <phoneticPr fontId="14" type="noConversion"/>
  <conditionalFormatting sqref="E21:F22">
    <cfRule type="cellIs" dxfId="8" priority="1" operator="equal">
      <formula>0</formula>
    </cfRule>
    <cfRule type="cellIs" dxfId="7" priority="2" operator="lessThan">
      <formula>0</formula>
    </cfRule>
    <cfRule type="cellIs" dxfId="6" priority="3" operator="greaterThan">
      <formula>0</formula>
    </cfRule>
  </conditionalFormatting>
  <conditionalFormatting sqref="G16:G17">
    <cfRule type="cellIs" dxfId="5" priority="18" operator="equal">
      <formula>0</formula>
    </cfRule>
    <cfRule type="cellIs" dxfId="4" priority="19" operator="greaterThan">
      <formula>0</formula>
    </cfRule>
    <cfRule type="cellIs" dxfId="3" priority="20" operator="lessThan">
      <formula>0</formula>
    </cfRule>
  </conditionalFormatting>
  <conditionalFormatting sqref="G24:G81">
    <cfRule type="cellIs" dxfId="2" priority="14" operator="equal">
      <formula>0</formula>
    </cfRule>
    <cfRule type="cellIs" dxfId="1" priority="15" operator="lessThan">
      <formula>0</formula>
    </cfRule>
    <cfRule type="cellIs" dxfId="0" priority="16" operator="greaterThan">
      <formula>0</formula>
    </cfRule>
  </conditionalFormatting>
  <printOptions horizontalCentered="1"/>
  <pageMargins left="0" right="0" top="0.39370078740157483" bottom="0" header="0" footer="0"/>
  <pageSetup paperSize="9" scale="5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CFF98BBB-6257-4DC0-ADCA-DCA3B3A1CD8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G16:G17</xm:sqref>
        </x14:conditionalFormatting>
        <x14:conditionalFormatting xmlns:xm="http://schemas.microsoft.com/office/excel/2006/main">
          <x14:cfRule type="iconSet" priority="13" id="{913161E8-E13B-42D6-B18E-004C07B764ED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G24:G81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117E-4322-47BE-B635-8BF2C15616E4}">
  <dimension ref="A1:I36"/>
  <sheetViews>
    <sheetView showGridLines="0" zoomScaleNormal="100" zoomScaleSheetLayoutView="115" workbookViewId="0">
      <selection activeCell="M8" sqref="M8"/>
    </sheetView>
  </sheetViews>
  <sheetFormatPr defaultRowHeight="16.5"/>
  <cols>
    <col min="1" max="1" width="2.875" style="61" customWidth="1"/>
    <col min="2" max="2" width="10.875" style="61" bestFit="1" customWidth="1"/>
    <col min="3" max="3" width="10" style="61" bestFit="1" customWidth="1"/>
    <col min="4" max="4" width="11.5" style="61" customWidth="1"/>
    <col min="5" max="5" width="9" style="61"/>
    <col min="6" max="7" width="9" style="61" customWidth="1"/>
    <col min="8" max="8" width="12.5" style="61" customWidth="1"/>
    <col min="9" max="9" width="2.25" style="61" customWidth="1"/>
    <col min="10" max="16384" width="9" style="61"/>
  </cols>
  <sheetData>
    <row r="1" spans="1:9" ht="16.5" customHeight="1">
      <c r="A1" s="402" t="s">
        <v>185</v>
      </c>
      <c r="B1" s="402"/>
      <c r="C1" s="402"/>
      <c r="D1" s="402"/>
      <c r="E1" s="402"/>
      <c r="F1" s="402"/>
      <c r="G1" s="402"/>
      <c r="H1" s="402"/>
      <c r="I1" s="402"/>
    </row>
    <row r="2" spans="1:9" ht="16.5" customHeight="1">
      <c r="A2" s="402"/>
      <c r="B2" s="402"/>
      <c r="C2" s="402"/>
      <c r="D2" s="402"/>
      <c r="E2" s="402"/>
      <c r="F2" s="402"/>
      <c r="G2" s="402"/>
      <c r="H2" s="402"/>
      <c r="I2" s="402"/>
    </row>
    <row r="3" spans="1:9" ht="16.5" customHeight="1">
      <c r="A3" s="402"/>
      <c r="B3" s="402"/>
      <c r="C3" s="402"/>
      <c r="D3" s="402"/>
      <c r="E3" s="402"/>
      <c r="F3" s="402"/>
      <c r="G3" s="402"/>
      <c r="H3" s="402"/>
      <c r="I3" s="402"/>
    </row>
    <row r="8" spans="1:9" ht="18" customHeight="1">
      <c r="B8" s="401" t="s">
        <v>177</v>
      </c>
      <c r="C8" s="401"/>
      <c r="E8" s="398"/>
      <c r="F8" s="398"/>
      <c r="G8" s="64"/>
      <c r="H8" s="398"/>
      <c r="I8" s="398"/>
    </row>
    <row r="9" spans="1:9" ht="18" customHeight="1">
      <c r="A9" s="68" t="s">
        <v>79</v>
      </c>
      <c r="B9" s="64" t="s">
        <v>80</v>
      </c>
      <c r="C9" s="65">
        <v>14210</v>
      </c>
      <c r="D9" s="64"/>
      <c r="E9" s="64"/>
      <c r="F9" s="71"/>
      <c r="G9" s="64"/>
      <c r="H9" s="64"/>
      <c r="I9" s="71"/>
    </row>
    <row r="10" spans="1:9" ht="18" customHeight="1">
      <c r="A10" s="68" t="s">
        <v>79</v>
      </c>
      <c r="B10" s="64" t="s">
        <v>81</v>
      </c>
      <c r="C10" s="65">
        <v>21560</v>
      </c>
      <c r="D10" s="64"/>
      <c r="E10" s="64"/>
      <c r="G10" s="64"/>
      <c r="H10" s="64"/>
      <c r="I10" s="71"/>
    </row>
    <row r="11" spans="1:9" ht="18" customHeight="1">
      <c r="A11" s="397" t="s">
        <v>82</v>
      </c>
      <c r="B11" s="397"/>
      <c r="C11" s="397"/>
      <c r="D11" s="397"/>
      <c r="E11" s="397"/>
      <c r="F11" s="397"/>
      <c r="G11" s="397"/>
      <c r="H11" s="397"/>
      <c r="I11" s="71"/>
    </row>
    <row r="12" spans="1:9" ht="18" customHeight="1">
      <c r="B12" s="66"/>
      <c r="C12" s="64"/>
      <c r="D12" s="64"/>
      <c r="E12" s="64"/>
      <c r="F12" s="64"/>
      <c r="G12" s="64"/>
      <c r="H12" s="64"/>
      <c r="I12" s="64"/>
    </row>
    <row r="13" spans="1:9" ht="18" customHeight="1">
      <c r="B13" s="401" t="s">
        <v>176</v>
      </c>
      <c r="C13" s="401"/>
      <c r="D13" s="125" t="s">
        <v>83</v>
      </c>
      <c r="E13" s="70"/>
      <c r="F13" s="64"/>
      <c r="G13" s="64"/>
      <c r="H13" s="64"/>
      <c r="I13" s="64"/>
    </row>
    <row r="14" spans="1:9" ht="18" customHeight="1">
      <c r="A14" s="68" t="s">
        <v>79</v>
      </c>
      <c r="B14" s="64" t="s">
        <v>80</v>
      </c>
      <c r="C14" s="65">
        <v>7289</v>
      </c>
      <c r="D14" s="64"/>
      <c r="E14" s="64"/>
      <c r="F14" s="64"/>
      <c r="G14" s="64"/>
      <c r="H14" s="64"/>
      <c r="I14" s="64"/>
    </row>
    <row r="15" spans="1:9" ht="18" customHeight="1">
      <c r="A15" s="68" t="s">
        <v>79</v>
      </c>
      <c r="B15" s="64" t="s">
        <v>81</v>
      </c>
      <c r="C15" s="65">
        <v>89010</v>
      </c>
      <c r="D15" s="64"/>
      <c r="E15" s="64"/>
      <c r="F15" s="64"/>
      <c r="G15" s="64"/>
      <c r="H15" s="64"/>
      <c r="I15" s="64"/>
    </row>
    <row r="16" spans="1:9" ht="18" customHeight="1">
      <c r="B16" s="64"/>
      <c r="C16" s="64"/>
      <c r="D16" s="64"/>
      <c r="E16" s="64"/>
      <c r="F16" s="64"/>
      <c r="G16" s="64"/>
      <c r="H16" s="64"/>
      <c r="I16" s="64"/>
    </row>
    <row r="17" spans="1:9" ht="18" customHeight="1">
      <c r="B17" s="396" t="s">
        <v>175</v>
      </c>
      <c r="C17" s="396"/>
      <c r="D17" s="126" t="s">
        <v>84</v>
      </c>
      <c r="E17" s="69" t="s">
        <v>85</v>
      </c>
      <c r="F17" s="64"/>
      <c r="G17" s="64"/>
      <c r="H17" s="64"/>
      <c r="I17" s="64"/>
    </row>
    <row r="18" spans="1:9" ht="18" customHeight="1">
      <c r="A18" s="68" t="s">
        <v>79</v>
      </c>
      <c r="B18" s="64" t="s">
        <v>80</v>
      </c>
      <c r="C18" s="65">
        <v>49320</v>
      </c>
      <c r="D18" s="64"/>
      <c r="E18" s="64"/>
      <c r="F18" s="64"/>
      <c r="G18" s="64"/>
      <c r="H18" s="64"/>
      <c r="I18" s="64"/>
    </row>
    <row r="19" spans="1:9" ht="18" customHeight="1">
      <c r="A19" s="68" t="s">
        <v>79</v>
      </c>
      <c r="B19" s="64" t="s">
        <v>81</v>
      </c>
      <c r="C19" s="65">
        <v>28930</v>
      </c>
      <c r="D19" s="62" t="s">
        <v>86</v>
      </c>
      <c r="E19" s="64"/>
      <c r="F19" s="64"/>
      <c r="G19" s="64"/>
      <c r="H19" s="64"/>
      <c r="I19" s="64"/>
    </row>
    <row r="20" spans="1:9" ht="18" customHeight="1">
      <c r="A20" s="68" t="s">
        <v>79</v>
      </c>
      <c r="B20" s="64" t="s">
        <v>81</v>
      </c>
      <c r="C20" s="65">
        <v>14245</v>
      </c>
      <c r="D20" s="62" t="s">
        <v>87</v>
      </c>
      <c r="E20" s="64"/>
      <c r="F20" s="64"/>
      <c r="G20" s="64"/>
      <c r="H20" s="64"/>
      <c r="I20" s="64"/>
    </row>
    <row r="21" spans="1:9" ht="18" customHeight="1">
      <c r="A21" s="68"/>
      <c r="B21" s="64"/>
      <c r="C21" s="65"/>
      <c r="D21" s="62"/>
      <c r="E21" s="64"/>
      <c r="F21" s="64"/>
      <c r="G21" s="64"/>
      <c r="H21" s="64"/>
      <c r="I21" s="64"/>
    </row>
    <row r="22" spans="1:9" ht="18" customHeight="1">
      <c r="A22" s="397" t="s">
        <v>88</v>
      </c>
      <c r="B22" s="397"/>
      <c r="C22" s="397"/>
      <c r="D22" s="397"/>
      <c r="E22" s="397"/>
      <c r="F22" s="397"/>
      <c r="G22" s="397"/>
      <c r="H22" s="397"/>
      <c r="I22" s="64"/>
    </row>
    <row r="23" spans="1:9" ht="18" customHeight="1">
      <c r="B23" s="67"/>
      <c r="C23" s="67"/>
      <c r="D23" s="67"/>
      <c r="E23" s="67"/>
      <c r="F23" s="67"/>
      <c r="G23" s="67"/>
      <c r="H23" s="67"/>
      <c r="I23" s="64"/>
    </row>
    <row r="24" spans="1:9" ht="18" customHeight="1" thickBot="1">
      <c r="B24" s="66"/>
      <c r="C24" s="64"/>
      <c r="D24" s="64"/>
      <c r="E24" s="64"/>
      <c r="F24" s="64"/>
      <c r="G24" s="64"/>
      <c r="H24" s="64"/>
      <c r="I24" s="64"/>
    </row>
    <row r="25" spans="1:9" ht="18" customHeight="1">
      <c r="B25" s="398" t="s">
        <v>89</v>
      </c>
      <c r="C25" s="398"/>
      <c r="D25" s="65">
        <f>C9+C14+C18</f>
        <v>70819</v>
      </c>
      <c r="E25" s="64"/>
      <c r="F25" s="64"/>
      <c r="G25" s="399" t="s">
        <v>171</v>
      </c>
      <c r="H25" s="400"/>
      <c r="I25" s="64"/>
    </row>
    <row r="26" spans="1:9" ht="18" customHeight="1">
      <c r="B26" s="398" t="s">
        <v>90</v>
      </c>
      <c r="C26" s="398"/>
      <c r="D26" s="65">
        <f>C10+C15+C19</f>
        <v>139500</v>
      </c>
      <c r="E26" s="62" t="s">
        <v>86</v>
      </c>
      <c r="F26" s="64" t="s">
        <v>172</v>
      </c>
      <c r="G26" s="391">
        <f>D26-C10</f>
        <v>117940</v>
      </c>
      <c r="H26" s="392"/>
      <c r="I26" s="64"/>
    </row>
    <row r="27" spans="1:9" ht="18" customHeight="1">
      <c r="B27" s="64"/>
      <c r="C27" s="64"/>
      <c r="D27" s="65">
        <f>C10+C15+C20</f>
        <v>124815</v>
      </c>
      <c r="E27" s="62" t="s">
        <v>87</v>
      </c>
      <c r="F27" s="64"/>
      <c r="G27" s="391">
        <f>D27-C10</f>
        <v>103255</v>
      </c>
      <c r="H27" s="392"/>
      <c r="I27" s="64"/>
    </row>
    <row r="28" spans="1:9" ht="18" thickBot="1">
      <c r="B28" s="64"/>
      <c r="C28" s="64"/>
      <c r="D28" s="65">
        <f>C10+C15</f>
        <v>110570</v>
      </c>
      <c r="E28" s="62" t="s">
        <v>91</v>
      </c>
      <c r="F28" s="64"/>
      <c r="G28" s="393">
        <f>D28-C10</f>
        <v>89010</v>
      </c>
      <c r="H28" s="394"/>
      <c r="I28" s="64"/>
    </row>
    <row r="29" spans="1:9" ht="18" customHeight="1">
      <c r="A29" s="395" t="s">
        <v>92</v>
      </c>
      <c r="B29" s="395"/>
      <c r="C29" s="395"/>
      <c r="D29" s="395"/>
      <c r="E29" s="395"/>
      <c r="F29" s="395"/>
      <c r="G29" s="395"/>
      <c r="H29" s="395"/>
      <c r="I29" s="64"/>
    </row>
    <row r="30" spans="1:9" ht="18" customHeight="1">
      <c r="B30" s="64"/>
      <c r="C30" s="64"/>
      <c r="D30" s="64"/>
      <c r="E30" s="64"/>
      <c r="F30" s="64"/>
      <c r="G30" s="64"/>
      <c r="H30" s="64"/>
      <c r="I30" s="64"/>
    </row>
    <row r="31" spans="1:9" ht="18" customHeight="1">
      <c r="A31" s="390" t="s">
        <v>93</v>
      </c>
      <c r="B31" s="390"/>
      <c r="C31" s="390"/>
      <c r="D31" s="390"/>
      <c r="E31" s="390"/>
      <c r="F31" s="390"/>
      <c r="G31" s="390"/>
      <c r="H31" s="390"/>
      <c r="I31" s="390"/>
    </row>
    <row r="32" spans="1:9" ht="18" customHeight="1">
      <c r="A32" s="390" t="s">
        <v>94</v>
      </c>
      <c r="B32" s="390"/>
      <c r="C32" s="390"/>
      <c r="D32" s="390"/>
      <c r="E32" s="390"/>
      <c r="F32" s="390"/>
      <c r="G32" s="390"/>
      <c r="H32" s="390"/>
      <c r="I32" s="390"/>
    </row>
    <row r="33" spans="1:9" ht="18" customHeight="1">
      <c r="A33" s="390" t="s">
        <v>95</v>
      </c>
      <c r="B33" s="390"/>
      <c r="C33" s="390"/>
      <c r="D33" s="390"/>
      <c r="E33" s="390"/>
      <c r="F33" s="390"/>
      <c r="G33" s="390"/>
      <c r="H33" s="390"/>
      <c r="I33" s="390"/>
    </row>
    <row r="34" spans="1:9" ht="18" customHeight="1">
      <c r="A34" s="390" t="s">
        <v>96</v>
      </c>
      <c r="B34" s="390"/>
      <c r="C34" s="390"/>
      <c r="D34" s="390"/>
      <c r="E34" s="390"/>
      <c r="F34" s="390"/>
      <c r="G34" s="390"/>
      <c r="H34" s="390"/>
      <c r="I34" s="390"/>
    </row>
    <row r="35" spans="1:9" ht="17.25">
      <c r="A35" s="63"/>
      <c r="B35" s="62"/>
      <c r="C35" s="62"/>
      <c r="D35" s="62"/>
      <c r="E35" s="62"/>
      <c r="F35" s="62"/>
      <c r="G35" s="62"/>
      <c r="H35" s="62"/>
      <c r="I35" s="62"/>
    </row>
    <row r="36" spans="1:9" ht="17.25">
      <c r="A36" s="390" t="s">
        <v>97</v>
      </c>
      <c r="B36" s="390"/>
      <c r="C36" s="390"/>
      <c r="D36" s="390"/>
      <c r="E36" s="390"/>
      <c r="F36" s="390"/>
      <c r="G36" s="390"/>
      <c r="H36" s="390"/>
      <c r="I36" s="390"/>
    </row>
  </sheetData>
  <mergeCells count="20">
    <mergeCell ref="B13:C13"/>
    <mergeCell ref="A1:I3"/>
    <mergeCell ref="B8:C8"/>
    <mergeCell ref="E8:F8"/>
    <mergeCell ref="H8:I8"/>
    <mergeCell ref="A11:H11"/>
    <mergeCell ref="B17:C17"/>
    <mergeCell ref="A22:H22"/>
    <mergeCell ref="B25:C25"/>
    <mergeCell ref="G25:H25"/>
    <mergeCell ref="B26:C26"/>
    <mergeCell ref="G26:H26"/>
    <mergeCell ref="A34:I34"/>
    <mergeCell ref="A36:I36"/>
    <mergeCell ref="G27:H27"/>
    <mergeCell ref="G28:H28"/>
    <mergeCell ref="A29:H29"/>
    <mergeCell ref="A31:I31"/>
    <mergeCell ref="A32:I32"/>
    <mergeCell ref="A33:I33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E79E-BFD2-4E29-BDE4-B1F6D576FB56}">
  <dimension ref="A1:I38"/>
  <sheetViews>
    <sheetView showGridLines="0" zoomScaleNormal="100" zoomScaleSheetLayoutView="115" workbookViewId="0">
      <selection activeCell="A4" sqref="A4"/>
    </sheetView>
  </sheetViews>
  <sheetFormatPr defaultRowHeight="16.5"/>
  <cols>
    <col min="1" max="1" width="2.875" style="61" customWidth="1"/>
    <col min="2" max="2" width="10.875" style="61" bestFit="1" customWidth="1"/>
    <col min="3" max="3" width="10" style="61" bestFit="1" customWidth="1"/>
    <col min="4" max="4" width="11.5" style="61" customWidth="1"/>
    <col min="5" max="5" width="9" style="61"/>
    <col min="6" max="7" width="9" style="61" customWidth="1"/>
    <col min="8" max="8" width="12.5" style="61" customWidth="1"/>
    <col min="9" max="9" width="2.25" style="61" customWidth="1"/>
    <col min="10" max="16384" width="9" style="61"/>
  </cols>
  <sheetData>
    <row r="1" spans="1:9" ht="16.5" customHeight="1">
      <c r="A1" s="402" t="s">
        <v>185</v>
      </c>
      <c r="B1" s="402"/>
      <c r="C1" s="402"/>
      <c r="D1" s="402"/>
      <c r="E1" s="402"/>
      <c r="F1" s="402"/>
      <c r="G1" s="402"/>
      <c r="H1" s="402"/>
      <c r="I1" s="402"/>
    </row>
    <row r="2" spans="1:9" ht="16.5" customHeight="1">
      <c r="A2" s="402"/>
      <c r="B2" s="402"/>
      <c r="C2" s="402"/>
      <c r="D2" s="402"/>
      <c r="E2" s="402"/>
      <c r="F2" s="402"/>
      <c r="G2" s="402"/>
      <c r="H2" s="402"/>
      <c r="I2" s="402"/>
    </row>
    <row r="3" spans="1:9" ht="16.5" customHeight="1">
      <c r="A3" s="402"/>
      <c r="B3" s="402"/>
      <c r="C3" s="402"/>
      <c r="D3" s="402"/>
      <c r="E3" s="402"/>
      <c r="F3" s="402"/>
      <c r="G3" s="402"/>
      <c r="H3" s="402"/>
      <c r="I3" s="402"/>
    </row>
    <row r="8" spans="1:9" ht="18" customHeight="1">
      <c r="B8" s="396" t="s">
        <v>177</v>
      </c>
      <c r="C8" s="396"/>
      <c r="E8" s="398"/>
      <c r="F8" s="398"/>
      <c r="G8" s="64"/>
      <c r="H8" s="398"/>
      <c r="I8" s="398"/>
    </row>
    <row r="9" spans="1:9" ht="18" customHeight="1">
      <c r="A9" s="68" t="s">
        <v>79</v>
      </c>
      <c r="B9" s="64" t="s">
        <v>80</v>
      </c>
      <c r="C9" s="65">
        <v>14210</v>
      </c>
      <c r="D9" s="64"/>
      <c r="E9" s="64"/>
      <c r="F9" s="71"/>
      <c r="G9" s="64"/>
      <c r="H9" s="64"/>
      <c r="I9" s="71"/>
    </row>
    <row r="10" spans="1:9" ht="18" customHeight="1">
      <c r="A10" s="68" t="s">
        <v>79</v>
      </c>
      <c r="B10" s="64" t="s">
        <v>81</v>
      </c>
      <c r="C10" s="65">
        <v>21560</v>
      </c>
      <c r="D10" s="64"/>
      <c r="E10" s="64"/>
      <c r="G10" s="64"/>
      <c r="H10" s="64"/>
      <c r="I10" s="71"/>
    </row>
    <row r="11" spans="1:9" ht="18" customHeight="1">
      <c r="A11" s="397" t="s">
        <v>82</v>
      </c>
      <c r="B11" s="397"/>
      <c r="C11" s="397"/>
      <c r="D11" s="397"/>
      <c r="E11" s="397"/>
      <c r="F11" s="397"/>
      <c r="G11" s="397"/>
      <c r="H11" s="397"/>
      <c r="I11" s="71"/>
    </row>
    <row r="12" spans="1:9" ht="18" customHeight="1">
      <c r="B12" s="66"/>
      <c r="C12" s="64"/>
      <c r="D12" s="64"/>
      <c r="E12" s="64"/>
      <c r="F12" s="64"/>
      <c r="G12" s="64"/>
      <c r="H12" s="64"/>
      <c r="I12" s="64"/>
    </row>
    <row r="13" spans="1:9" ht="18" hidden="1" customHeight="1">
      <c r="B13" s="401" t="s">
        <v>176</v>
      </c>
      <c r="C13" s="401"/>
      <c r="D13" s="125" t="s">
        <v>83</v>
      </c>
      <c r="E13" s="70"/>
      <c r="F13" s="64"/>
      <c r="G13" s="64"/>
      <c r="H13" s="64"/>
      <c r="I13" s="64"/>
    </row>
    <row r="14" spans="1:9" ht="18" hidden="1" customHeight="1">
      <c r="A14" s="68" t="s">
        <v>79</v>
      </c>
      <c r="B14" s="64" t="s">
        <v>80</v>
      </c>
      <c r="C14" s="65"/>
      <c r="D14" s="64"/>
      <c r="E14" s="64"/>
      <c r="F14" s="64"/>
      <c r="G14" s="64"/>
      <c r="H14" s="64"/>
      <c r="I14" s="64"/>
    </row>
    <row r="15" spans="1:9" ht="18" hidden="1" customHeight="1">
      <c r="A15" s="68" t="s">
        <v>79</v>
      </c>
      <c r="B15" s="64" t="s">
        <v>81</v>
      </c>
      <c r="C15" s="65"/>
      <c r="D15" s="64"/>
      <c r="E15" s="64"/>
      <c r="F15" s="64"/>
      <c r="G15" s="64"/>
      <c r="H15" s="64"/>
      <c r="I15" s="64"/>
    </row>
    <row r="16" spans="1:9" ht="18" hidden="1" customHeight="1">
      <c r="B16" s="64"/>
      <c r="C16" s="64"/>
      <c r="D16" s="64"/>
      <c r="E16" s="64"/>
      <c r="F16" s="64"/>
      <c r="G16" s="64"/>
      <c r="H16" s="64"/>
      <c r="I16" s="64"/>
    </row>
    <row r="17" spans="1:9" ht="18" customHeight="1">
      <c r="B17" s="396" t="s">
        <v>175</v>
      </c>
      <c r="C17" s="396"/>
      <c r="D17" s="126" t="s">
        <v>186</v>
      </c>
      <c r="E17" s="69"/>
      <c r="F17" s="64"/>
      <c r="G17" s="64"/>
      <c r="H17" s="64"/>
      <c r="I17" s="64"/>
    </row>
    <row r="18" spans="1:9" ht="18" customHeight="1">
      <c r="A18" s="68" t="s">
        <v>79</v>
      </c>
      <c r="B18" s="64" t="s">
        <v>80</v>
      </c>
      <c r="C18" s="65">
        <v>72440</v>
      </c>
      <c r="D18" s="64"/>
      <c r="E18" s="64"/>
      <c r="F18" s="64"/>
      <c r="G18" s="64"/>
      <c r="H18" s="64"/>
      <c r="I18" s="64"/>
    </row>
    <row r="19" spans="1:9" ht="18" customHeight="1">
      <c r="A19" s="68" t="s">
        <v>79</v>
      </c>
      <c r="B19" s="64" t="s">
        <v>81</v>
      </c>
      <c r="C19" s="65">
        <v>64950</v>
      </c>
      <c r="D19" s="62" t="s">
        <v>187</v>
      </c>
      <c r="E19" s="64"/>
      <c r="F19" s="64"/>
      <c r="G19" s="64"/>
      <c r="H19" s="64"/>
      <c r="I19" s="64"/>
    </row>
    <row r="20" spans="1:9" ht="18" customHeight="1">
      <c r="A20" s="68" t="s">
        <v>79</v>
      </c>
      <c r="B20" s="64" t="s">
        <v>81</v>
      </c>
      <c r="C20" s="65">
        <v>52024</v>
      </c>
      <c r="D20" s="62" t="s">
        <v>188</v>
      </c>
      <c r="E20" s="64"/>
      <c r="F20" s="64"/>
      <c r="G20" s="64"/>
      <c r="H20" s="64"/>
      <c r="I20" s="64"/>
    </row>
    <row r="21" spans="1:9" ht="18" customHeight="1">
      <c r="A21" s="68" t="s">
        <v>79</v>
      </c>
      <c r="B21" s="64" t="s">
        <v>81</v>
      </c>
      <c r="C21" s="65">
        <v>37955</v>
      </c>
      <c r="D21" s="62" t="s">
        <v>189</v>
      </c>
      <c r="E21" s="64"/>
      <c r="F21" s="64"/>
      <c r="G21" s="64"/>
      <c r="H21" s="64"/>
      <c r="I21" s="64"/>
    </row>
    <row r="22" spans="1:9" ht="18" customHeight="1">
      <c r="A22" s="68"/>
      <c r="B22" s="64"/>
      <c r="C22" s="65"/>
      <c r="D22" s="62"/>
      <c r="E22" s="64"/>
      <c r="F22" s="64"/>
      <c r="G22" s="64"/>
      <c r="H22" s="64"/>
      <c r="I22" s="64"/>
    </row>
    <row r="23" spans="1:9" ht="18" customHeight="1">
      <c r="A23" s="397" t="s">
        <v>88</v>
      </c>
      <c r="B23" s="397"/>
      <c r="C23" s="397"/>
      <c r="D23" s="397"/>
      <c r="E23" s="397"/>
      <c r="F23" s="397"/>
      <c r="G23" s="397"/>
      <c r="H23" s="397"/>
      <c r="I23" s="64"/>
    </row>
    <row r="24" spans="1:9" ht="18" customHeight="1">
      <c r="B24" s="67"/>
      <c r="C24" s="67"/>
      <c r="D24" s="67"/>
      <c r="E24" s="67"/>
      <c r="F24" s="67"/>
      <c r="G24" s="67"/>
      <c r="H24" s="67"/>
      <c r="I24" s="64"/>
    </row>
    <row r="25" spans="1:9" ht="18" customHeight="1" thickBot="1">
      <c r="B25" s="66"/>
      <c r="C25" s="64"/>
      <c r="D25" s="64"/>
      <c r="E25" s="64"/>
      <c r="F25" s="64"/>
      <c r="G25" s="64"/>
      <c r="H25" s="64"/>
      <c r="I25" s="64"/>
    </row>
    <row r="26" spans="1:9" ht="18" customHeight="1">
      <c r="B26" s="398" t="s">
        <v>89</v>
      </c>
      <c r="C26" s="398"/>
      <c r="D26" s="65">
        <f>C9+C14+C18</f>
        <v>86650</v>
      </c>
      <c r="E26" s="64"/>
      <c r="F26" s="64"/>
      <c r="G26" s="399" t="s">
        <v>171</v>
      </c>
      <c r="H26" s="400"/>
      <c r="I26" s="64"/>
    </row>
    <row r="27" spans="1:9" ht="18" customHeight="1">
      <c r="B27" s="398" t="s">
        <v>90</v>
      </c>
      <c r="C27" s="398"/>
      <c r="D27" s="65">
        <f>C10+C15+C19</f>
        <v>86510</v>
      </c>
      <c r="E27" s="62" t="s">
        <v>86</v>
      </c>
      <c r="F27" s="64" t="s">
        <v>172</v>
      </c>
      <c r="G27" s="391">
        <f>D27-C10</f>
        <v>64950</v>
      </c>
      <c r="H27" s="392"/>
      <c r="I27" s="64"/>
    </row>
    <row r="28" spans="1:9" ht="18" customHeight="1">
      <c r="B28" s="64"/>
      <c r="C28" s="64"/>
      <c r="D28" s="65">
        <f>C10+C15+C20</f>
        <v>73584</v>
      </c>
      <c r="E28" s="62" t="s">
        <v>87</v>
      </c>
      <c r="F28" s="64"/>
      <c r="G28" s="391">
        <f>D28-C10</f>
        <v>52024</v>
      </c>
      <c r="H28" s="392"/>
      <c r="I28" s="64"/>
    </row>
    <row r="29" spans="1:9" ht="18" thickBot="1">
      <c r="B29" s="64"/>
      <c r="C29" s="64"/>
      <c r="D29" s="65">
        <f>C10+C21</f>
        <v>59515</v>
      </c>
      <c r="E29" s="62" t="s">
        <v>91</v>
      </c>
      <c r="F29" s="64"/>
      <c r="G29" s="393">
        <f>D29-C10</f>
        <v>37955</v>
      </c>
      <c r="H29" s="394"/>
      <c r="I29" s="64"/>
    </row>
    <row r="30" spans="1:9" ht="9.75" customHeight="1">
      <c r="B30" s="64"/>
      <c r="C30" s="64"/>
      <c r="D30" s="65"/>
      <c r="E30" s="62"/>
      <c r="F30" s="64"/>
      <c r="G30" s="71"/>
      <c r="H30" s="71"/>
      <c r="I30" s="64"/>
    </row>
    <row r="31" spans="1:9" ht="18" customHeight="1">
      <c r="A31" s="395" t="s">
        <v>92</v>
      </c>
      <c r="B31" s="395"/>
      <c r="C31" s="395"/>
      <c r="D31" s="395"/>
      <c r="E31" s="395"/>
      <c r="F31" s="395"/>
      <c r="G31" s="395"/>
      <c r="H31" s="395"/>
      <c r="I31" s="64"/>
    </row>
    <row r="32" spans="1:9" ht="18" customHeight="1">
      <c r="B32" s="64"/>
      <c r="C32" s="64"/>
      <c r="D32" s="64"/>
      <c r="E32" s="64"/>
      <c r="F32" s="64"/>
      <c r="G32" s="64"/>
      <c r="H32" s="64"/>
      <c r="I32" s="64"/>
    </row>
    <row r="33" spans="1:9" ht="18" customHeight="1">
      <c r="A33" s="390" t="s">
        <v>93</v>
      </c>
      <c r="B33" s="390"/>
      <c r="C33" s="390"/>
      <c r="D33" s="390"/>
      <c r="E33" s="390"/>
      <c r="F33" s="390"/>
      <c r="G33" s="390"/>
      <c r="H33" s="390"/>
      <c r="I33" s="390"/>
    </row>
    <row r="34" spans="1:9" ht="18" customHeight="1">
      <c r="A34" s="390" t="s">
        <v>94</v>
      </c>
      <c r="B34" s="390"/>
      <c r="C34" s="390"/>
      <c r="D34" s="390"/>
      <c r="E34" s="390"/>
      <c r="F34" s="390"/>
      <c r="G34" s="390"/>
      <c r="H34" s="390"/>
      <c r="I34" s="390"/>
    </row>
    <row r="35" spans="1:9" ht="18" customHeight="1">
      <c r="A35" s="390" t="s">
        <v>95</v>
      </c>
      <c r="B35" s="390"/>
      <c r="C35" s="390"/>
      <c r="D35" s="390"/>
      <c r="E35" s="390"/>
      <c r="F35" s="390"/>
      <c r="G35" s="390"/>
      <c r="H35" s="390"/>
      <c r="I35" s="390"/>
    </row>
    <row r="36" spans="1:9" ht="18" customHeight="1">
      <c r="A36" s="390" t="s">
        <v>96</v>
      </c>
      <c r="B36" s="390"/>
      <c r="C36" s="390"/>
      <c r="D36" s="390"/>
      <c r="E36" s="390"/>
      <c r="F36" s="390"/>
      <c r="G36" s="390"/>
      <c r="H36" s="390"/>
      <c r="I36" s="390"/>
    </row>
    <row r="37" spans="1:9" ht="17.25">
      <c r="A37" s="63"/>
      <c r="B37" s="62"/>
      <c r="C37" s="62"/>
      <c r="D37" s="62"/>
      <c r="E37" s="62"/>
      <c r="F37" s="62"/>
      <c r="G37" s="62"/>
      <c r="H37" s="62"/>
      <c r="I37" s="62"/>
    </row>
    <row r="38" spans="1:9" ht="17.25">
      <c r="A38" s="390" t="s">
        <v>97</v>
      </c>
      <c r="B38" s="390"/>
      <c r="C38" s="390"/>
      <c r="D38" s="390"/>
      <c r="E38" s="390"/>
      <c r="F38" s="390"/>
      <c r="G38" s="390"/>
      <c r="H38" s="390"/>
      <c r="I38" s="390"/>
    </row>
  </sheetData>
  <mergeCells count="20">
    <mergeCell ref="A36:I36"/>
    <mergeCell ref="A38:I38"/>
    <mergeCell ref="G28:H28"/>
    <mergeCell ref="G29:H29"/>
    <mergeCell ref="A31:H31"/>
    <mergeCell ref="A33:I33"/>
    <mergeCell ref="A34:I34"/>
    <mergeCell ref="A35:I35"/>
    <mergeCell ref="B17:C17"/>
    <mergeCell ref="A23:H23"/>
    <mergeCell ref="B26:C26"/>
    <mergeCell ref="G26:H26"/>
    <mergeCell ref="B27:C27"/>
    <mergeCell ref="G27:H27"/>
    <mergeCell ref="B13:C13"/>
    <mergeCell ref="A1:I3"/>
    <mergeCell ref="B8:C8"/>
    <mergeCell ref="E8:F8"/>
    <mergeCell ref="H8:I8"/>
    <mergeCell ref="A11:H11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C6A1-615B-42D3-B766-DA83DBB44CE0}">
  <sheetPr>
    <pageSetUpPr fitToPage="1"/>
  </sheetPr>
  <dimension ref="B2:J39"/>
  <sheetViews>
    <sheetView showGridLines="0" zoomScale="85" zoomScaleNormal="85" zoomScaleSheetLayoutView="85" workbookViewId="0">
      <selection activeCell="P18" sqref="P18"/>
    </sheetView>
  </sheetViews>
  <sheetFormatPr defaultRowHeight="16.5"/>
  <cols>
    <col min="1" max="1" width="2.25" style="110" customWidth="1"/>
    <col min="2" max="5" width="12.625" style="110" customWidth="1"/>
    <col min="6" max="6" width="7.875" style="110" customWidth="1"/>
    <col min="7" max="10" width="12.625" style="110" customWidth="1"/>
    <col min="11" max="11" width="2.25" style="110" customWidth="1"/>
    <col min="12" max="16384" width="9" style="110"/>
  </cols>
  <sheetData>
    <row r="2" spans="2:10" ht="39.950000000000003" customHeight="1">
      <c r="B2" s="407" t="s">
        <v>156</v>
      </c>
      <c r="C2" s="407"/>
      <c r="D2" s="407"/>
      <c r="E2" s="407"/>
      <c r="F2" s="407"/>
      <c r="G2" s="407"/>
      <c r="H2" s="407"/>
      <c r="I2" s="407"/>
      <c r="J2" s="407"/>
    </row>
    <row r="3" spans="2:10" ht="39.950000000000003" customHeight="1">
      <c r="B3" s="407"/>
      <c r="C3" s="407"/>
      <c r="D3" s="407"/>
      <c r="E3" s="407"/>
      <c r="F3" s="407"/>
      <c r="G3" s="407"/>
      <c r="H3" s="407"/>
      <c r="I3" s="407"/>
      <c r="J3" s="407"/>
    </row>
    <row r="4" spans="2:10" ht="24">
      <c r="B4" s="111"/>
      <c r="C4" s="111"/>
      <c r="D4" s="111"/>
      <c r="E4" s="111"/>
      <c r="F4" s="111"/>
      <c r="G4" s="111"/>
      <c r="H4" s="111"/>
      <c r="I4" s="111"/>
      <c r="J4" s="111"/>
    </row>
    <row r="5" spans="2:10" ht="24">
      <c r="B5" s="111"/>
      <c r="C5" s="111"/>
      <c r="D5" s="111"/>
      <c r="E5" s="111"/>
      <c r="F5" s="111"/>
      <c r="G5" s="111"/>
      <c r="H5" s="111"/>
      <c r="I5" s="111"/>
      <c r="J5" s="111"/>
    </row>
    <row r="6" spans="2:10" ht="24">
      <c r="B6" s="111"/>
      <c r="C6" s="111"/>
      <c r="D6" s="111"/>
      <c r="E6" s="111"/>
      <c r="F6" s="111"/>
      <c r="G6" s="111"/>
      <c r="H6" s="111"/>
      <c r="I6" s="111"/>
      <c r="J6" s="111"/>
    </row>
    <row r="7" spans="2:10" ht="24">
      <c r="B7" s="111"/>
      <c r="C7" s="111"/>
      <c r="D7" s="111"/>
      <c r="E7" s="111"/>
      <c r="F7" s="111"/>
      <c r="G7" s="111"/>
      <c r="H7" s="111"/>
      <c r="I7" s="111"/>
      <c r="J7" s="111"/>
    </row>
    <row r="8" spans="2:10" ht="24">
      <c r="B8" s="111"/>
      <c r="C8" s="111"/>
      <c r="D8" s="111"/>
      <c r="E8" s="111"/>
      <c r="F8" s="111"/>
      <c r="G8" s="111"/>
      <c r="H8" s="111"/>
      <c r="I8" s="111"/>
      <c r="J8" s="111"/>
    </row>
    <row r="9" spans="2:10" ht="24">
      <c r="B9" s="111"/>
      <c r="C9" s="111"/>
      <c r="D9" s="111"/>
      <c r="E9" s="111"/>
      <c r="F9" s="111"/>
      <c r="G9" s="111"/>
      <c r="H9" s="111"/>
      <c r="I9" s="111"/>
      <c r="J9" s="111"/>
    </row>
    <row r="10" spans="2:10" ht="24">
      <c r="B10" s="111"/>
      <c r="C10" s="111"/>
      <c r="D10" s="111"/>
      <c r="E10" s="111"/>
      <c r="F10" s="111"/>
      <c r="G10" s="111"/>
      <c r="H10" s="111"/>
      <c r="I10" s="111"/>
      <c r="J10" s="111"/>
    </row>
    <row r="11" spans="2:10" ht="24">
      <c r="B11" s="111"/>
      <c r="C11" s="111"/>
      <c r="D11" s="111"/>
      <c r="E11" s="111"/>
      <c r="F11" s="111"/>
      <c r="G11" s="111"/>
      <c r="H11" s="111"/>
      <c r="I11" s="111"/>
      <c r="J11" s="111"/>
    </row>
    <row r="12" spans="2:10" ht="20.100000000000001" customHeight="1">
      <c r="B12" s="408" t="s">
        <v>157</v>
      </c>
      <c r="C12" s="408"/>
      <c r="D12" s="408"/>
      <c r="E12" s="408"/>
      <c r="F12" s="112"/>
      <c r="G12" s="408" t="s">
        <v>157</v>
      </c>
      <c r="H12" s="408"/>
      <c r="I12" s="408"/>
      <c r="J12" s="408"/>
    </row>
    <row r="13" spans="2:10" ht="20.100000000000001" customHeight="1">
      <c r="B13" s="408"/>
      <c r="C13" s="408"/>
      <c r="D13" s="408"/>
      <c r="E13" s="408"/>
      <c r="F13" s="112"/>
      <c r="G13" s="408"/>
      <c r="H13" s="408"/>
      <c r="I13" s="408"/>
      <c r="J13" s="408"/>
    </row>
    <row r="14" spans="2:10" ht="30" customHeight="1">
      <c r="B14" s="409" t="s">
        <v>158</v>
      </c>
      <c r="C14" s="409"/>
      <c r="D14" s="409"/>
      <c r="E14" s="409"/>
      <c r="F14" s="112"/>
      <c r="G14" s="409" t="s">
        <v>159</v>
      </c>
      <c r="H14" s="409"/>
      <c r="I14" s="409"/>
      <c r="J14" s="409"/>
    </row>
    <row r="15" spans="2:10" ht="24.95" customHeight="1">
      <c r="B15" s="113"/>
      <c r="C15" s="113"/>
      <c r="D15" s="113"/>
      <c r="E15" s="113"/>
      <c r="F15" s="112"/>
      <c r="G15" s="406" t="s">
        <v>160</v>
      </c>
      <c r="H15" s="406"/>
      <c r="I15" s="406"/>
      <c r="J15" s="406"/>
    </row>
    <row r="16" spans="2:10" ht="24.95" customHeight="1">
      <c r="B16" s="113"/>
      <c r="C16" s="113"/>
      <c r="D16" s="113"/>
      <c r="E16" s="113"/>
      <c r="F16" s="112"/>
      <c r="G16" s="406" t="s">
        <v>183</v>
      </c>
      <c r="H16" s="406"/>
      <c r="I16" s="406"/>
      <c r="J16" s="406"/>
    </row>
    <row r="17" spans="2:10" ht="24.75" customHeight="1">
      <c r="B17" s="410"/>
      <c r="C17" s="410"/>
      <c r="D17" s="410"/>
      <c r="E17" s="410"/>
      <c r="F17" s="112"/>
      <c r="G17" s="411"/>
      <c r="H17" s="411"/>
      <c r="I17" s="411"/>
      <c r="J17" s="411"/>
    </row>
    <row r="18" spans="2:10" ht="20.100000000000001" customHeight="1">
      <c r="B18" s="403" t="s">
        <v>161</v>
      </c>
      <c r="C18" s="403"/>
      <c r="D18" s="403"/>
      <c r="E18" s="403"/>
      <c r="F18" s="112"/>
      <c r="G18" s="403" t="s">
        <v>161</v>
      </c>
      <c r="H18" s="403"/>
      <c r="I18" s="403"/>
      <c r="J18" s="403"/>
    </row>
    <row r="19" spans="2:10" ht="20.100000000000001" customHeight="1">
      <c r="B19" s="403"/>
      <c r="C19" s="403"/>
      <c r="D19" s="403"/>
      <c r="E19" s="403"/>
      <c r="F19" s="112"/>
      <c r="G19" s="403"/>
      <c r="H19" s="403"/>
      <c r="I19" s="403"/>
      <c r="J19" s="403"/>
    </row>
    <row r="20" spans="2:10" ht="30" customHeight="1">
      <c r="B20" s="404" t="s">
        <v>162</v>
      </c>
      <c r="C20" s="404"/>
      <c r="D20" s="404"/>
      <c r="E20" s="404"/>
      <c r="F20" s="112"/>
      <c r="G20" s="405" t="s">
        <v>163</v>
      </c>
      <c r="H20" s="404"/>
      <c r="I20" s="404"/>
      <c r="J20" s="404"/>
    </row>
    <row r="21" spans="2:10" ht="24.95" customHeight="1">
      <c r="B21" s="414" t="s">
        <v>164</v>
      </c>
      <c r="C21" s="414"/>
      <c r="D21" s="414"/>
      <c r="E21" s="414"/>
      <c r="F21" s="112"/>
      <c r="G21" s="412" t="s">
        <v>184</v>
      </c>
      <c r="H21" s="412"/>
      <c r="I21" s="412"/>
      <c r="J21" s="412"/>
    </row>
    <row r="22" spans="2:10" ht="24.95" customHeight="1">
      <c r="B22" s="414" t="s">
        <v>165</v>
      </c>
      <c r="C22" s="414"/>
      <c r="D22" s="414"/>
      <c r="E22" s="414"/>
      <c r="F22" s="112"/>
      <c r="G22" s="412"/>
      <c r="H22" s="412"/>
      <c r="I22" s="412"/>
      <c r="J22" s="412"/>
    </row>
    <row r="23" spans="2:10" ht="24.95" customHeight="1">
      <c r="B23" s="116"/>
      <c r="C23" s="116"/>
      <c r="D23" s="116"/>
      <c r="E23" s="116"/>
      <c r="F23" s="112"/>
      <c r="G23" s="114"/>
      <c r="H23" s="115"/>
      <c r="I23" s="115"/>
      <c r="J23" s="115"/>
    </row>
    <row r="24" spans="2:10" ht="30" customHeight="1">
      <c r="B24" s="404" t="s">
        <v>166</v>
      </c>
      <c r="C24" s="404"/>
      <c r="D24" s="404"/>
      <c r="E24" s="404"/>
      <c r="F24" s="112"/>
      <c r="G24" s="410"/>
      <c r="H24" s="410"/>
      <c r="I24" s="410"/>
      <c r="J24" s="410"/>
    </row>
    <row r="25" spans="2:10" ht="24.95" customHeight="1">
      <c r="B25" s="414" t="s">
        <v>167</v>
      </c>
      <c r="C25" s="414"/>
      <c r="D25" s="414"/>
      <c r="E25" s="414"/>
    </row>
    <row r="26" spans="2:10" ht="24.95" customHeight="1">
      <c r="B26" s="414" t="s">
        <v>168</v>
      </c>
      <c r="C26" s="414"/>
      <c r="D26" s="414"/>
      <c r="E26" s="414"/>
    </row>
    <row r="27" spans="2:10" ht="24.95" customHeight="1">
      <c r="B27" s="414" t="s">
        <v>169</v>
      </c>
      <c r="C27" s="414"/>
      <c r="D27" s="414"/>
      <c r="E27" s="414"/>
    </row>
    <row r="28" spans="2:10">
      <c r="B28" s="116"/>
      <c r="C28" s="116"/>
      <c r="D28" s="116"/>
      <c r="E28" s="116"/>
    </row>
    <row r="29" spans="2:10">
      <c r="B29" s="116"/>
      <c r="C29" s="116"/>
      <c r="D29" s="116"/>
      <c r="E29" s="116"/>
    </row>
    <row r="30" spans="2:10">
      <c r="B30" s="415"/>
      <c r="C30" s="415"/>
      <c r="D30" s="415"/>
      <c r="E30" s="415"/>
    </row>
    <row r="31" spans="2:10">
      <c r="B31" s="410"/>
      <c r="C31" s="410"/>
      <c r="D31" s="410"/>
      <c r="E31" s="410"/>
      <c r="F31" s="410"/>
      <c r="G31" s="410"/>
      <c r="H31" s="410"/>
      <c r="I31" s="410"/>
      <c r="J31" s="410"/>
    </row>
    <row r="32" spans="2:10" ht="30" customHeight="1">
      <c r="B32" s="416" t="s">
        <v>170</v>
      </c>
      <c r="C32" s="416"/>
      <c r="D32" s="416"/>
      <c r="E32" s="416"/>
      <c r="F32" s="416"/>
      <c r="G32" s="416"/>
      <c r="H32" s="416"/>
      <c r="I32" s="416"/>
      <c r="J32" s="416"/>
    </row>
    <row r="33" spans="2:10" ht="30" customHeight="1">
      <c r="B33" s="416"/>
      <c r="C33" s="416"/>
      <c r="D33" s="416"/>
      <c r="E33" s="416"/>
      <c r="F33" s="416"/>
      <c r="G33" s="416"/>
      <c r="H33" s="416"/>
      <c r="I33" s="416"/>
      <c r="J33" s="416"/>
    </row>
    <row r="34" spans="2:10" s="117" customFormat="1" ht="30" customHeight="1">
      <c r="B34" s="413" t="s">
        <v>173</v>
      </c>
      <c r="C34" s="413"/>
      <c r="D34" s="413"/>
      <c r="E34" s="413"/>
      <c r="F34" s="413"/>
      <c r="G34" s="413"/>
      <c r="H34" s="413"/>
      <c r="I34" s="413"/>
      <c r="J34" s="413"/>
    </row>
    <row r="35" spans="2:10" s="117" customFormat="1" ht="30" customHeight="1">
      <c r="B35" s="413"/>
      <c r="C35" s="413"/>
      <c r="D35" s="413"/>
      <c r="E35" s="413"/>
      <c r="F35" s="413"/>
      <c r="G35" s="413"/>
      <c r="H35" s="413"/>
      <c r="I35" s="413"/>
      <c r="J35" s="413"/>
    </row>
    <row r="36" spans="2:10" s="117" customFormat="1" ht="30" customHeight="1">
      <c r="B36" s="413"/>
      <c r="C36" s="413"/>
      <c r="D36" s="413"/>
      <c r="E36" s="413"/>
      <c r="F36" s="413"/>
      <c r="G36" s="413"/>
      <c r="H36" s="413"/>
      <c r="I36" s="413"/>
      <c r="J36" s="413"/>
    </row>
    <row r="37" spans="2:10" s="117" customFormat="1" ht="30" customHeight="1">
      <c r="B37" s="413"/>
      <c r="C37" s="413"/>
      <c r="D37" s="413"/>
      <c r="E37" s="413"/>
      <c r="F37" s="413"/>
      <c r="G37" s="413"/>
      <c r="H37" s="413"/>
      <c r="I37" s="413"/>
      <c r="J37" s="413"/>
    </row>
    <row r="38" spans="2:10" ht="30" customHeight="1">
      <c r="B38" s="413"/>
      <c r="C38" s="413"/>
      <c r="D38" s="413"/>
      <c r="E38" s="413"/>
      <c r="F38" s="413"/>
      <c r="G38" s="413"/>
      <c r="H38" s="413"/>
      <c r="I38" s="413"/>
      <c r="J38" s="413"/>
    </row>
    <row r="39" spans="2:10" ht="30" customHeight="1">
      <c r="B39" s="413"/>
      <c r="C39" s="413"/>
      <c r="D39" s="413"/>
      <c r="E39" s="413"/>
      <c r="F39" s="413"/>
      <c r="G39" s="413"/>
      <c r="H39" s="413"/>
      <c r="I39" s="413"/>
      <c r="J39" s="413"/>
    </row>
  </sheetData>
  <mergeCells count="25">
    <mergeCell ref="G21:J22"/>
    <mergeCell ref="B34:J39"/>
    <mergeCell ref="B21:E21"/>
    <mergeCell ref="B22:E22"/>
    <mergeCell ref="B24:E24"/>
    <mergeCell ref="G24:J24"/>
    <mergeCell ref="B25:E25"/>
    <mergeCell ref="B26:E26"/>
    <mergeCell ref="B27:E27"/>
    <mergeCell ref="B30:E30"/>
    <mergeCell ref="B31:J31"/>
    <mergeCell ref="B32:J33"/>
    <mergeCell ref="G18:J19"/>
    <mergeCell ref="B20:E20"/>
    <mergeCell ref="G20:J20"/>
    <mergeCell ref="G15:J15"/>
    <mergeCell ref="B2:J3"/>
    <mergeCell ref="B12:E13"/>
    <mergeCell ref="G12:J13"/>
    <mergeCell ref="B14:E14"/>
    <mergeCell ref="G14:J14"/>
    <mergeCell ref="G16:J16"/>
    <mergeCell ref="B17:E17"/>
    <mergeCell ref="G17:J17"/>
    <mergeCell ref="B18:E19"/>
  </mergeCells>
  <phoneticPr fontId="14" type="noConversion"/>
  <pageMargins left="0.7" right="0.7" top="0.75" bottom="0.75" header="0.3" footer="0.3"/>
  <pageSetup paperSize="9"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2511-1DEF-4FC1-9ACB-6656BDDC78A1}">
  <sheetPr>
    <pageSetUpPr fitToPage="1"/>
  </sheetPr>
  <dimension ref="A1:K13"/>
  <sheetViews>
    <sheetView showGridLines="0" zoomScale="130" zoomScaleNormal="130" zoomScaleSheetLayoutView="130" workbookViewId="0">
      <selection activeCell="A2" sqref="A2:H2"/>
    </sheetView>
  </sheetViews>
  <sheetFormatPr defaultRowHeight="16.5"/>
  <cols>
    <col min="1" max="1" width="9.625" style="21" customWidth="1"/>
    <col min="2" max="3" width="12.625" style="21" customWidth="1"/>
    <col min="4" max="4" width="12.625" style="22" hidden="1" customWidth="1"/>
    <col min="5" max="5" width="15.625" style="24" customWidth="1"/>
    <col min="6" max="7" width="12.625" style="23" customWidth="1"/>
    <col min="8" max="8" width="12.625" style="22" hidden="1" customWidth="1"/>
    <col min="9" max="9" width="15.625" style="21" customWidth="1"/>
    <col min="10" max="10" width="9" style="21" customWidth="1"/>
    <col min="11" max="16384" width="9" style="21"/>
  </cols>
  <sheetData>
    <row r="1" spans="1:11" ht="17.25" thickBot="1">
      <c r="A1" s="417" t="s">
        <v>72</v>
      </c>
      <c r="B1" s="417"/>
      <c r="C1" s="417"/>
      <c r="D1" s="417"/>
      <c r="E1" s="417"/>
      <c r="F1" s="417"/>
      <c r="G1" s="417"/>
      <c r="H1" s="417"/>
      <c r="I1" s="418"/>
    </row>
    <row r="2" spans="1:11">
      <c r="A2" s="421" t="s">
        <v>71</v>
      </c>
      <c r="B2" s="422"/>
      <c r="C2" s="422"/>
      <c r="D2" s="422"/>
      <c r="E2" s="422"/>
      <c r="F2" s="422"/>
      <c r="G2" s="422"/>
      <c r="H2" s="422"/>
      <c r="I2" s="423" t="s">
        <v>66</v>
      </c>
    </row>
    <row r="3" spans="1:11" ht="17.25" thickBot="1">
      <c r="A3" s="34"/>
      <c r="B3" s="34" t="s">
        <v>70</v>
      </c>
      <c r="C3" s="34" t="s">
        <v>68</v>
      </c>
      <c r="D3" s="35" t="s">
        <v>67</v>
      </c>
      <c r="E3" s="34" t="s">
        <v>66</v>
      </c>
      <c r="F3" s="33" t="s">
        <v>69</v>
      </c>
      <c r="G3" s="33" t="s">
        <v>68</v>
      </c>
      <c r="H3" s="53" t="s">
        <v>67</v>
      </c>
      <c r="I3" s="424"/>
      <c r="K3" s="46" t="s">
        <v>113</v>
      </c>
    </row>
    <row r="4" spans="1:11">
      <c r="A4" s="28" t="s">
        <v>65</v>
      </c>
      <c r="B4" s="27">
        <v>78970</v>
      </c>
      <c r="C4" s="27">
        <f>B4*240</f>
        <v>18952800</v>
      </c>
      <c r="D4" s="31" t="s">
        <v>63</v>
      </c>
      <c r="E4" s="27">
        <f>B4+$B$9</f>
        <v>94827</v>
      </c>
      <c r="F4" s="27">
        <v>112560</v>
      </c>
      <c r="G4" s="27">
        <f>F4*240</f>
        <v>27014400</v>
      </c>
      <c r="H4" s="47" t="s">
        <v>63</v>
      </c>
      <c r="I4" s="48">
        <f>F4+$B$9</f>
        <v>128417</v>
      </c>
    </row>
    <row r="5" spans="1:11">
      <c r="A5" s="28" t="s">
        <v>64</v>
      </c>
      <c r="B5" s="27">
        <v>69000</v>
      </c>
      <c r="C5" s="27">
        <f>B5*300</f>
        <v>20700000</v>
      </c>
      <c r="D5" s="31" t="s">
        <v>61</v>
      </c>
      <c r="E5" s="27">
        <f>B5+$B$9</f>
        <v>84857</v>
      </c>
      <c r="F5" s="27">
        <v>99770</v>
      </c>
      <c r="G5" s="27">
        <f>F5*300</f>
        <v>29931000</v>
      </c>
      <c r="H5" s="47" t="s">
        <v>63</v>
      </c>
      <c r="I5" s="49">
        <f>F5+$B$9</f>
        <v>115627</v>
      </c>
    </row>
    <row r="6" spans="1:11" ht="17.25" thickBot="1">
      <c r="A6" s="28" t="s">
        <v>62</v>
      </c>
      <c r="B6" s="32">
        <v>62510</v>
      </c>
      <c r="C6" s="27">
        <f>B6*360</f>
        <v>22503600</v>
      </c>
      <c r="D6" s="31" t="s">
        <v>61</v>
      </c>
      <c r="E6" s="27">
        <f>B6+$B$9</f>
        <v>78367</v>
      </c>
      <c r="F6" s="32">
        <v>91770</v>
      </c>
      <c r="G6" s="27">
        <f>F6*360</f>
        <v>33037200</v>
      </c>
      <c r="H6" s="47" t="s">
        <v>61</v>
      </c>
      <c r="I6" s="50">
        <f>F6+$B$9</f>
        <v>107627</v>
      </c>
    </row>
    <row r="7" spans="1:11">
      <c r="A7" s="30"/>
      <c r="B7" s="23"/>
      <c r="C7" s="29"/>
      <c r="D7" s="29"/>
      <c r="E7" s="29"/>
      <c r="F7" s="29"/>
      <c r="G7" s="29"/>
      <c r="H7" s="29"/>
      <c r="I7" s="25"/>
    </row>
    <row r="8" spans="1:11">
      <c r="A8" s="419" t="s">
        <v>60</v>
      </c>
      <c r="B8" s="420"/>
      <c r="C8" s="25"/>
      <c r="D8" s="25"/>
      <c r="E8" s="25"/>
      <c r="F8" s="25"/>
      <c r="G8" s="25"/>
      <c r="H8" s="25"/>
      <c r="I8" s="25"/>
    </row>
    <row r="9" spans="1:11">
      <c r="A9" s="28" t="s">
        <v>59</v>
      </c>
      <c r="B9" s="27">
        <v>15857</v>
      </c>
      <c r="C9" s="25"/>
      <c r="D9" s="25"/>
      <c r="E9" s="25"/>
      <c r="F9" s="25"/>
      <c r="G9" s="25"/>
      <c r="H9" s="25"/>
      <c r="I9" s="25"/>
    </row>
    <row r="10" spans="1:11">
      <c r="A10" s="28"/>
      <c r="B10" s="27"/>
      <c r="C10" s="25"/>
      <c r="D10" s="25"/>
      <c r="E10" s="25"/>
      <c r="F10" s="25"/>
      <c r="G10" s="25"/>
      <c r="H10" s="25"/>
      <c r="I10" s="25"/>
    </row>
    <row r="11" spans="1:11">
      <c r="A11" s="28"/>
      <c r="B11" s="27"/>
      <c r="C11" s="25"/>
      <c r="D11" s="25"/>
      <c r="E11" s="25"/>
      <c r="F11" s="25"/>
      <c r="G11" s="25"/>
      <c r="H11" s="25"/>
      <c r="I11" s="25"/>
    </row>
    <row r="12" spans="1:11">
      <c r="A12" s="28"/>
      <c r="B12" s="27"/>
      <c r="C12" s="25"/>
      <c r="D12" s="25"/>
      <c r="E12" s="25"/>
      <c r="F12" s="25"/>
      <c r="G12" s="25"/>
      <c r="H12" s="25"/>
      <c r="I12" s="25"/>
    </row>
    <row r="13" spans="1:11">
      <c r="A13" s="28"/>
      <c r="B13" s="27"/>
      <c r="C13" s="26"/>
      <c r="D13" s="25"/>
      <c r="E13" s="25"/>
      <c r="F13" s="25"/>
      <c r="G13" s="25"/>
      <c r="H13" s="25"/>
      <c r="I13" s="25"/>
    </row>
  </sheetData>
  <mergeCells count="4">
    <mergeCell ref="A1:I1"/>
    <mergeCell ref="A8:B8"/>
    <mergeCell ref="A2:H2"/>
    <mergeCell ref="I2:I3"/>
  </mergeCells>
  <phoneticPr fontId="14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88DB-2E87-4787-9B4C-559C5D66DF5D}">
  <sheetPr>
    <pageSetUpPr fitToPage="1"/>
  </sheetPr>
  <dimension ref="A1:K12"/>
  <sheetViews>
    <sheetView showGridLines="0" zoomScale="130" zoomScaleNormal="130" zoomScaleSheetLayoutView="130" workbookViewId="0">
      <selection activeCell="F13" sqref="F13"/>
    </sheetView>
  </sheetViews>
  <sheetFormatPr defaultRowHeight="16.5"/>
  <cols>
    <col min="1" max="1" width="9" style="23" customWidth="1"/>
    <col min="2" max="3" width="12.625" style="23" customWidth="1"/>
    <col min="4" max="4" width="10.625" style="23" hidden="1" customWidth="1"/>
    <col min="5" max="6" width="12.625" style="23" customWidth="1"/>
    <col min="7" max="7" width="10.625" style="23" hidden="1" customWidth="1"/>
    <col min="8" max="8" width="15.625" style="23" customWidth="1"/>
    <col min="9" max="10" width="9" style="23" customWidth="1"/>
    <col min="11" max="16384" width="9" style="23"/>
  </cols>
  <sheetData>
    <row r="1" spans="1:11" ht="17.25" thickBot="1">
      <c r="A1" s="426" t="s">
        <v>72</v>
      </c>
      <c r="B1" s="427"/>
      <c r="C1" s="427"/>
      <c r="D1" s="427"/>
      <c r="E1" s="427"/>
      <c r="F1" s="427"/>
      <c r="G1" s="427"/>
      <c r="H1" s="428"/>
    </row>
    <row r="2" spans="1:11">
      <c r="A2" s="127"/>
      <c r="B2" s="429" t="s">
        <v>98</v>
      </c>
      <c r="C2" s="422"/>
      <c r="D2" s="430"/>
      <c r="E2" s="431" t="s">
        <v>99</v>
      </c>
      <c r="F2" s="432"/>
      <c r="G2" s="433"/>
      <c r="H2" s="434" t="s">
        <v>66</v>
      </c>
    </row>
    <row r="3" spans="1:11" ht="17.25" thickBot="1">
      <c r="A3" s="128"/>
      <c r="B3" s="42" t="s">
        <v>100</v>
      </c>
      <c r="C3" s="42" t="s">
        <v>68</v>
      </c>
      <c r="D3" s="43" t="s">
        <v>67</v>
      </c>
      <c r="E3" s="44" t="s">
        <v>100</v>
      </c>
      <c r="F3" s="44" t="s">
        <v>68</v>
      </c>
      <c r="G3" s="45" t="s">
        <v>67</v>
      </c>
      <c r="H3" s="435"/>
      <c r="J3" s="46" t="s">
        <v>101</v>
      </c>
      <c r="K3" s="22"/>
    </row>
    <row r="4" spans="1:11">
      <c r="A4" s="28" t="s">
        <v>178</v>
      </c>
      <c r="B4" s="27">
        <v>91270</v>
      </c>
      <c r="C4" s="27">
        <f>B4*240</f>
        <v>21904800</v>
      </c>
      <c r="D4" s="31"/>
      <c r="E4" s="27">
        <v>50000</v>
      </c>
      <c r="F4" s="27">
        <f>E4*240</f>
        <v>12000000</v>
      </c>
      <c r="G4" s="47"/>
      <c r="H4" s="48">
        <f>B9+B10+B4+E4</f>
        <v>190916</v>
      </c>
    </row>
    <row r="5" spans="1:11">
      <c r="A5" s="28" t="s">
        <v>64</v>
      </c>
      <c r="B5" s="27">
        <v>81700</v>
      </c>
      <c r="C5" s="27">
        <f>B5*300</f>
        <v>24510000</v>
      </c>
      <c r="D5" s="31"/>
      <c r="E5" s="27">
        <v>42000</v>
      </c>
      <c r="F5" s="27">
        <f>E5*300</f>
        <v>12600000</v>
      </c>
      <c r="G5" s="47"/>
      <c r="H5" s="49">
        <f>B9+B10+B5+E5</f>
        <v>173346</v>
      </c>
    </row>
    <row r="6" spans="1:11" ht="17.25" thickBot="1">
      <c r="A6" s="28" t="s">
        <v>62</v>
      </c>
      <c r="B6" s="32">
        <v>77530</v>
      </c>
      <c r="C6" s="27">
        <f>B6*360</f>
        <v>27910800</v>
      </c>
      <c r="D6" s="31"/>
      <c r="E6" s="27">
        <v>38000</v>
      </c>
      <c r="F6" s="27">
        <f>E6*360</f>
        <v>13680000</v>
      </c>
      <c r="G6" s="47"/>
      <c r="H6" s="50">
        <f>B9+B10+B6+E6</f>
        <v>165176</v>
      </c>
    </row>
    <row r="7" spans="1:11">
      <c r="B7" s="51"/>
      <c r="C7" s="52"/>
      <c r="D7" s="52"/>
      <c r="E7" s="52"/>
      <c r="F7" s="52"/>
      <c r="G7" s="52"/>
      <c r="H7" s="52"/>
    </row>
    <row r="8" spans="1:11">
      <c r="A8" s="425" t="s">
        <v>60</v>
      </c>
      <c r="B8" s="425"/>
      <c r="C8" s="52"/>
      <c r="D8" s="52"/>
      <c r="E8" s="52"/>
      <c r="F8" s="52"/>
      <c r="G8" s="52"/>
      <c r="H8" s="52"/>
    </row>
    <row r="9" spans="1:11">
      <c r="A9" s="28" t="s">
        <v>102</v>
      </c>
      <c r="B9" s="32">
        <v>14181</v>
      </c>
    </row>
    <row r="10" spans="1:11">
      <c r="A10" s="28" t="s">
        <v>103</v>
      </c>
      <c r="B10" s="27">
        <v>35465</v>
      </c>
    </row>
    <row r="11" spans="1:11">
      <c r="A11" s="28" t="s">
        <v>104</v>
      </c>
      <c r="B11" s="28"/>
    </row>
    <row r="12" spans="1:11">
      <c r="A12" s="28" t="s">
        <v>105</v>
      </c>
      <c r="B12" s="28"/>
    </row>
  </sheetData>
  <mergeCells count="5">
    <mergeCell ref="A8:B8"/>
    <mergeCell ref="A1:H1"/>
    <mergeCell ref="B2:D2"/>
    <mergeCell ref="E2:G2"/>
    <mergeCell ref="H2:H3"/>
  </mergeCells>
  <phoneticPr fontId="14" type="noConversion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44ED-C42A-4624-AD82-7632E05FE6B1}">
  <sheetPr>
    <pageSetUpPr fitToPage="1"/>
  </sheetPr>
  <dimension ref="A1:O13"/>
  <sheetViews>
    <sheetView showGridLines="0" zoomScale="115" zoomScaleNormal="115" zoomScaleSheetLayoutView="115" workbookViewId="0">
      <selection activeCell="B2" sqref="B2:F2"/>
    </sheetView>
  </sheetViews>
  <sheetFormatPr defaultRowHeight="16.5"/>
  <cols>
    <col min="1" max="5" width="12.625" style="23" customWidth="1"/>
    <col min="6" max="6" width="12.625" style="23" hidden="1" customWidth="1"/>
    <col min="7" max="10" width="12.625" style="23" customWidth="1"/>
    <col min="11" max="11" width="10.625" style="23" hidden="1" customWidth="1"/>
    <col min="12" max="13" width="15.625" style="23" customWidth="1"/>
    <col min="14" max="15" width="9" style="23" customWidth="1"/>
    <col min="16" max="16384" width="9" style="23"/>
  </cols>
  <sheetData>
    <row r="1" spans="1:15" ht="30.75" customHeight="1" thickBot="1">
      <c r="A1" s="436" t="s">
        <v>72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8"/>
    </row>
    <row r="2" spans="1:15" ht="16.5" customHeight="1">
      <c r="A2" s="439"/>
      <c r="B2" s="429" t="s">
        <v>98</v>
      </c>
      <c r="C2" s="422"/>
      <c r="D2" s="422"/>
      <c r="E2" s="422"/>
      <c r="F2" s="430"/>
      <c r="G2" s="441" t="s">
        <v>99</v>
      </c>
      <c r="H2" s="441"/>
      <c r="I2" s="441"/>
      <c r="J2" s="441"/>
      <c r="K2" s="431"/>
      <c r="L2" s="442" t="s">
        <v>106</v>
      </c>
      <c r="M2" s="442" t="s">
        <v>107</v>
      </c>
    </row>
    <row r="3" spans="1:15" ht="17.25" thickBot="1">
      <c r="A3" s="440"/>
      <c r="B3" s="34" t="s">
        <v>108</v>
      </c>
      <c r="C3" s="34" t="s">
        <v>68</v>
      </c>
      <c r="D3" s="34" t="s">
        <v>109</v>
      </c>
      <c r="E3" s="34" t="s">
        <v>68</v>
      </c>
      <c r="F3" s="35" t="s">
        <v>67</v>
      </c>
      <c r="G3" s="33" t="s">
        <v>108</v>
      </c>
      <c r="H3" s="33" t="s">
        <v>68</v>
      </c>
      <c r="I3" s="33" t="s">
        <v>112</v>
      </c>
      <c r="J3" s="33" t="s">
        <v>68</v>
      </c>
      <c r="K3" s="53" t="s">
        <v>67</v>
      </c>
      <c r="L3" s="443"/>
      <c r="M3" s="443"/>
      <c r="O3" s="46" t="s">
        <v>110</v>
      </c>
    </row>
    <row r="4" spans="1:15">
      <c r="A4" s="28" t="s">
        <v>65</v>
      </c>
      <c r="B4" s="27">
        <v>100000</v>
      </c>
      <c r="C4" s="27">
        <f>B4*240</f>
        <v>24000000</v>
      </c>
      <c r="D4" s="27">
        <v>95000</v>
      </c>
      <c r="E4" s="27">
        <f>D4*240</f>
        <v>22800000</v>
      </c>
      <c r="F4" s="31"/>
      <c r="G4" s="27">
        <v>41731</v>
      </c>
      <c r="H4" s="27">
        <f>G4*240</f>
        <v>10015440</v>
      </c>
      <c r="I4" s="27">
        <v>41731</v>
      </c>
      <c r="J4" s="27">
        <f>I4*240</f>
        <v>10015440</v>
      </c>
      <c r="K4" s="47"/>
      <c r="L4" s="48">
        <f>$B$9+$B$10+$B$11+$B$12+$B$13+B4+G4</f>
        <v>141731</v>
      </c>
      <c r="M4" s="48">
        <f>$B$9+$B$10+$B$11+$B$12+$B$13+D4+I4</f>
        <v>136731</v>
      </c>
    </row>
    <row r="5" spans="1:15">
      <c r="A5" s="28" t="s">
        <v>64</v>
      </c>
      <c r="B5" s="27">
        <v>90000</v>
      </c>
      <c r="C5" s="27">
        <f>B5*300</f>
        <v>27000000</v>
      </c>
      <c r="D5" s="27">
        <v>85000</v>
      </c>
      <c r="E5" s="27">
        <f>D5*300</f>
        <v>25500000</v>
      </c>
      <c r="F5" s="31"/>
      <c r="G5" s="27">
        <v>33321</v>
      </c>
      <c r="H5" s="27">
        <f>G5*300</f>
        <v>9996300</v>
      </c>
      <c r="I5" s="27">
        <v>33321</v>
      </c>
      <c r="J5" s="27">
        <f>I5*300</f>
        <v>9996300</v>
      </c>
      <c r="K5" s="47"/>
      <c r="L5" s="48">
        <f t="shared" ref="L5:L6" si="0">$B$9+$B$10+$B$11+$B$12+$B$13+B5+G5</f>
        <v>123321</v>
      </c>
      <c r="M5" s="48">
        <f t="shared" ref="M5:M6" si="1">$B$9+$B$10+$B$11+$B$12+$B$13+D5+I5</f>
        <v>118321</v>
      </c>
    </row>
    <row r="6" spans="1:15" ht="17.25" thickBot="1">
      <c r="A6" s="28" t="s">
        <v>62</v>
      </c>
      <c r="B6" s="32">
        <v>80000</v>
      </c>
      <c r="C6" s="27">
        <f>B6*360</f>
        <v>28800000</v>
      </c>
      <c r="D6" s="32">
        <v>75000</v>
      </c>
      <c r="E6" s="27">
        <f>D6*360</f>
        <v>27000000</v>
      </c>
      <c r="F6" s="31"/>
      <c r="G6" s="27">
        <v>27949</v>
      </c>
      <c r="H6" s="27">
        <f>G6*360</f>
        <v>10061640</v>
      </c>
      <c r="I6" s="27">
        <v>27949</v>
      </c>
      <c r="J6" s="27">
        <f>I6*360</f>
        <v>10061640</v>
      </c>
      <c r="K6" s="47"/>
      <c r="L6" s="54">
        <f t="shared" si="0"/>
        <v>107949</v>
      </c>
      <c r="M6" s="54">
        <f t="shared" si="1"/>
        <v>102949</v>
      </c>
    </row>
    <row r="7" spans="1:15">
      <c r="A7" s="30"/>
      <c r="D7" s="51"/>
      <c r="E7" s="52"/>
      <c r="F7" s="52"/>
      <c r="G7" s="52"/>
      <c r="H7" s="52"/>
      <c r="I7" s="52"/>
      <c r="J7" s="52"/>
      <c r="K7" s="52"/>
      <c r="L7" s="52"/>
      <c r="M7" s="52"/>
    </row>
    <row r="8" spans="1:15">
      <c r="A8" s="419" t="s">
        <v>60</v>
      </c>
      <c r="B8" s="420"/>
      <c r="C8" s="52"/>
      <c r="D8" s="52"/>
      <c r="E8" s="52"/>
      <c r="F8" s="52"/>
      <c r="G8" s="52"/>
      <c r="H8" s="52"/>
      <c r="I8" s="52"/>
      <c r="J8" s="52"/>
      <c r="K8" s="52"/>
    </row>
    <row r="9" spans="1:15">
      <c r="A9" s="28" t="s">
        <v>102</v>
      </c>
      <c r="B9" s="28"/>
    </row>
    <row r="10" spans="1:15">
      <c r="A10" s="28" t="s">
        <v>103</v>
      </c>
      <c r="B10" s="28"/>
    </row>
    <row r="11" spans="1:15">
      <c r="A11" s="28" t="s">
        <v>104</v>
      </c>
      <c r="B11" s="28"/>
    </row>
    <row r="12" spans="1:15">
      <c r="A12" s="28" t="s">
        <v>105</v>
      </c>
      <c r="B12" s="28"/>
    </row>
    <row r="13" spans="1:15">
      <c r="A13" s="28" t="s">
        <v>111</v>
      </c>
      <c r="B13" s="28"/>
    </row>
  </sheetData>
  <mergeCells count="7">
    <mergeCell ref="A8:B8"/>
    <mergeCell ref="A1:M1"/>
    <mergeCell ref="A2:A3"/>
    <mergeCell ref="B2:F2"/>
    <mergeCell ref="G2:K2"/>
    <mergeCell ref="L2:L3"/>
    <mergeCell ref="M2:M3"/>
  </mergeCells>
  <phoneticPr fontId="14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통합보장 분석(전)</vt:lpstr>
      <vt:lpstr>통합보장 분석(후)</vt:lpstr>
      <vt:lpstr>보장분석 컨설팅</vt:lpstr>
      <vt:lpstr>태아보험 보험료 비교(100세)</vt:lpstr>
      <vt:lpstr>태아보험 보험료 비교(30세)</vt:lpstr>
      <vt:lpstr>태아보험 보험기간</vt:lpstr>
      <vt:lpstr>1건 보험료비교(100세, 90세, 납기별)</vt:lpstr>
      <vt:lpstr>2건 보험료비교(납기별)</vt:lpstr>
      <vt:lpstr>2건 보험료비교(납기별, 100세, 90세)</vt:lpstr>
      <vt:lpstr>'1건 보험료비교(100세, 90세, 납기별)'!Print_Area</vt:lpstr>
      <vt:lpstr>'2건 보험료비교(납기별)'!Print_Area</vt:lpstr>
      <vt:lpstr>'2건 보험료비교(납기별, 100세, 90세)'!Print_Area</vt:lpstr>
      <vt:lpstr>'보장분석 컨설팅'!Print_Area</vt:lpstr>
      <vt:lpstr>'태아보험 보험기간'!Print_Area</vt:lpstr>
      <vt:lpstr>'태아보험 보험료 비교(100세)'!Print_Area</vt:lpstr>
      <vt:lpstr>'태아보험 보험료 비교(30세)'!Print_Area</vt:lpstr>
      <vt:lpstr>'통합보장 분석(전)'!Print_Area</vt:lpstr>
      <vt:lpstr>'통합보장 분석(후)'!Print_Area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박호영</dc:creator>
  <cp:lastModifiedBy>김태영</cp:lastModifiedBy>
  <cp:lastPrinted>2024-08-28T23:04:40Z</cp:lastPrinted>
  <dcterms:created xsi:type="dcterms:W3CDTF">2018-07-16T02:41:49Z</dcterms:created>
  <dcterms:modified xsi:type="dcterms:W3CDTF">2026-07-04T00:05:42Z</dcterms:modified>
</cp:coreProperties>
</file>